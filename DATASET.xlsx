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14099B8-244B-4AEA-B60A-2468C1B0ADCA}" xr6:coauthVersionLast="47" xr6:coauthVersionMax="47" xr10:uidLastSave="{00000000-0000-0000-0000-000000000000}"/>
  <bookViews>
    <workbookView xWindow="-108" yWindow="-108" windowWidth="23256" windowHeight="12456" xr2:uid="{19C98C09-9D9D-2F4A-9C94-3B4ABE2EDD25}"/>
  </bookViews>
  <sheets>
    <sheet name="3 Statement Model" sheetId="2" r:id="rId1"/>
    <sheet name="Financing and Funding Analysis" sheetId="10" r:id="rId2"/>
    <sheet name="Financial Forecast" sheetId="3" r:id="rId3"/>
    <sheet name="HR Analyst Report" sheetId="4" r:id="rId4"/>
    <sheet name="Financing" sheetId="5" r:id="rId5"/>
    <sheet name="CAPEX" sheetId="6" r:id="rId6"/>
    <sheet name="OPEX Analysis" sheetId="7" r:id="rId7"/>
    <sheet name="Liquidity and Risk Analysis" sheetId="8" r:id="rId8"/>
    <sheet name="CAPEX Investment Analysis" sheetId="9" r:id="rId9"/>
    <sheet name="Assumptions" sheetId="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13" i="3" s="1"/>
  <c r="B11" i="3"/>
  <c r="D4" i="2"/>
  <c r="C13" i="3" s="1"/>
  <c r="C4" i="2"/>
  <c r="B13" i="3" s="1"/>
  <c r="O40" i="2"/>
  <c r="N40" i="2"/>
  <c r="M40" i="2"/>
  <c r="L40" i="2"/>
  <c r="K40" i="2"/>
  <c r="J40" i="2"/>
  <c r="I40" i="2"/>
  <c r="H40" i="2"/>
  <c r="G40" i="2"/>
  <c r="F40" i="2"/>
  <c r="E40" i="2"/>
  <c r="D40" i="2"/>
  <c r="F29" i="2"/>
  <c r="G29" i="2"/>
  <c r="H29" i="2" s="1"/>
  <c r="I29" i="2" s="1"/>
  <c r="J29" i="2" s="1"/>
  <c r="K29" i="2" s="1"/>
  <c r="L29" i="2" s="1"/>
  <c r="M29" i="2" s="1"/>
  <c r="N29" i="2" s="1"/>
  <c r="O29" i="2" s="1"/>
  <c r="E29" i="2"/>
  <c r="D29" i="2"/>
  <c r="O26" i="2"/>
  <c r="O27" i="2" s="1"/>
  <c r="N26" i="2"/>
  <c r="M26" i="2"/>
  <c r="L26" i="2"/>
  <c r="L27" i="2" s="1"/>
  <c r="K26" i="2"/>
  <c r="K27" i="2" s="1"/>
  <c r="J26" i="2"/>
  <c r="I26" i="2"/>
  <c r="I27" i="2" s="1"/>
  <c r="H26" i="2"/>
  <c r="H27" i="2" s="1"/>
  <c r="G26" i="2"/>
  <c r="G27" i="2" s="1"/>
  <c r="F26" i="2"/>
  <c r="E26" i="2"/>
  <c r="D26" i="2"/>
  <c r="E22" i="2"/>
  <c r="F22" i="2"/>
  <c r="G22" i="2"/>
  <c r="H22" i="2"/>
  <c r="I22" i="2"/>
  <c r="J22" i="2"/>
  <c r="K22" i="2"/>
  <c r="L22" i="2"/>
  <c r="M22" i="2"/>
  <c r="N22" i="2"/>
  <c r="O22" i="2"/>
  <c r="D22" i="2"/>
  <c r="K13" i="2"/>
  <c r="L13" i="2"/>
  <c r="M13" i="2"/>
  <c r="N13" i="2"/>
  <c r="O13" i="2"/>
  <c r="J13" i="2"/>
  <c r="I13" i="2"/>
  <c r="H13" i="2"/>
  <c r="G13" i="2"/>
  <c r="F13" i="2"/>
  <c r="E13" i="2"/>
  <c r="D13" i="2"/>
  <c r="F5" i="10"/>
  <c r="F6" i="10"/>
  <c r="F7" i="10"/>
  <c r="F8" i="10"/>
  <c r="F9" i="10"/>
  <c r="F10" i="10"/>
  <c r="F11" i="10"/>
  <c r="F12" i="10"/>
  <c r="F13" i="10"/>
  <c r="F14" i="10"/>
  <c r="F4" i="10"/>
  <c r="E5" i="10"/>
  <c r="E4" i="10"/>
  <c r="C5" i="10" s="1"/>
  <c r="D5" i="10" s="1"/>
  <c r="D4" i="10"/>
  <c r="C4" i="10"/>
  <c r="F3" i="10"/>
  <c r="E3" i="10"/>
  <c r="D3" i="10"/>
  <c r="C3" i="10"/>
  <c r="O12" i="2"/>
  <c r="N12" i="2"/>
  <c r="M12" i="2"/>
  <c r="L12" i="2"/>
  <c r="K12" i="2"/>
  <c r="J12" i="2"/>
  <c r="I12" i="2"/>
  <c r="H12" i="2"/>
  <c r="G12" i="2"/>
  <c r="F12" i="2"/>
  <c r="E12" i="2"/>
  <c r="D12" i="2"/>
  <c r="M8" i="2"/>
  <c r="K6" i="9"/>
  <c r="K7" i="9"/>
  <c r="K8" i="9"/>
  <c r="K9" i="9"/>
  <c r="K10" i="9"/>
  <c r="K11" i="9"/>
  <c r="K12" i="9"/>
  <c r="K13" i="9"/>
  <c r="K14" i="9"/>
  <c r="K15" i="9"/>
  <c r="K16" i="9"/>
  <c r="K5" i="9"/>
  <c r="C14" i="9"/>
  <c r="N7" i="7"/>
  <c r="N8" i="7"/>
  <c r="N9" i="7"/>
  <c r="N10" i="7"/>
  <c r="N11" i="7"/>
  <c r="N12" i="7"/>
  <c r="N13" i="7"/>
  <c r="N14" i="7"/>
  <c r="N15" i="7"/>
  <c r="N16" i="7"/>
  <c r="N6" i="7"/>
  <c r="M5" i="7"/>
  <c r="H22" i="7"/>
  <c r="H23" i="7"/>
  <c r="H24" i="7"/>
  <c r="H25" i="7"/>
  <c r="H26" i="7"/>
  <c r="H27" i="7"/>
  <c r="H28" i="7"/>
  <c r="H29" i="7"/>
  <c r="H30" i="7"/>
  <c r="H31" i="7"/>
  <c r="H32" i="7"/>
  <c r="H21" i="7"/>
  <c r="G22" i="7"/>
  <c r="G23" i="7"/>
  <c r="G24" i="7"/>
  <c r="G25" i="7"/>
  <c r="G26" i="7"/>
  <c r="G27" i="7"/>
  <c r="G28" i="7"/>
  <c r="G29" i="7"/>
  <c r="G30" i="7"/>
  <c r="G31" i="7"/>
  <c r="G32" i="7"/>
  <c r="G21" i="7"/>
  <c r="D4" i="3"/>
  <c r="E7" i="7" s="1"/>
  <c r="D3" i="3"/>
  <c r="D2" i="3"/>
  <c r="E5" i="7" s="1"/>
  <c r="C14" i="7"/>
  <c r="E8" i="7"/>
  <c r="E9" i="7"/>
  <c r="E10" i="7"/>
  <c r="E11" i="7"/>
  <c r="E12" i="7"/>
  <c r="E13" i="7"/>
  <c r="E14" i="7"/>
  <c r="E15" i="7"/>
  <c r="E16" i="7"/>
  <c r="L24" i="6"/>
  <c r="K24" i="6"/>
  <c r="J24" i="6"/>
  <c r="I24" i="6"/>
  <c r="H24" i="6"/>
  <c r="G24" i="6"/>
  <c r="F24" i="6"/>
  <c r="E24" i="6"/>
  <c r="D24" i="6"/>
  <c r="C24" i="6"/>
  <c r="B24" i="6"/>
  <c r="A24" i="6"/>
  <c r="L20" i="6"/>
  <c r="K20" i="6"/>
  <c r="J20" i="6"/>
  <c r="I20" i="6"/>
  <c r="H20" i="6"/>
  <c r="G20" i="6"/>
  <c r="F20" i="6"/>
  <c r="E20" i="6"/>
  <c r="D20" i="6"/>
  <c r="C20" i="6"/>
  <c r="B20" i="6"/>
  <c r="A20" i="6"/>
  <c r="C3" i="6"/>
  <c r="C4" i="6"/>
  <c r="C5" i="6"/>
  <c r="C6" i="6"/>
  <c r="C7" i="6"/>
  <c r="C8" i="6"/>
  <c r="C9" i="6"/>
  <c r="C10" i="6"/>
  <c r="C11" i="6"/>
  <c r="C12" i="6"/>
  <c r="C13" i="6"/>
  <c r="C2" i="6"/>
  <c r="C9" i="5"/>
  <c r="C8" i="5"/>
  <c r="C7" i="5"/>
  <c r="N27" i="2"/>
  <c r="M27" i="2"/>
  <c r="J27" i="2"/>
  <c r="F27" i="2"/>
  <c r="E27" i="2"/>
  <c r="D27" i="2"/>
  <c r="O39" i="2" l="1"/>
  <c r="D16" i="9"/>
  <c r="L16" i="9" s="1"/>
  <c r="E6" i="3"/>
  <c r="E8" i="3"/>
  <c r="E9" i="3"/>
  <c r="B10" i="10" s="1"/>
  <c r="G10" i="10" s="1"/>
  <c r="H10" i="10" s="1"/>
  <c r="E2" i="3"/>
  <c r="D39" i="2" s="1"/>
  <c r="E10" i="3"/>
  <c r="E3" i="3"/>
  <c r="B4" i="10" s="1"/>
  <c r="G4" i="10" s="1"/>
  <c r="H4" i="10" s="1"/>
  <c r="E11" i="3"/>
  <c r="M39" i="2" s="1"/>
  <c r="E4" i="3"/>
  <c r="E12" i="3"/>
  <c r="B13" i="10" s="1"/>
  <c r="G13" i="10" s="1"/>
  <c r="H13" i="10" s="1"/>
  <c r="E7" i="3"/>
  <c r="E5" i="3"/>
  <c r="B14" i="10"/>
  <c r="G14" i="10" s="1"/>
  <c r="H14" i="10" s="1"/>
  <c r="C32" i="9"/>
  <c r="D14" i="9"/>
  <c r="F14" i="9" s="1"/>
  <c r="D16" i="7"/>
  <c r="G13" i="3"/>
  <c r="O10" i="2" s="1"/>
  <c r="C7" i="3"/>
  <c r="G7" i="3" s="1"/>
  <c r="I10" i="2" s="1"/>
  <c r="C8" i="3"/>
  <c r="G8" i="3" s="1"/>
  <c r="J10" i="2" s="1"/>
  <c r="C9" i="3"/>
  <c r="G9" i="3" s="1"/>
  <c r="K10" i="2" s="1"/>
  <c r="C2" i="3"/>
  <c r="D5" i="7" s="1"/>
  <c r="C10" i="3"/>
  <c r="D13" i="7" s="1"/>
  <c r="C3" i="3"/>
  <c r="D6" i="7" s="1"/>
  <c r="C11" i="3"/>
  <c r="G11" i="3" s="1"/>
  <c r="M10" i="2" s="1"/>
  <c r="C6" i="3"/>
  <c r="C4" i="3"/>
  <c r="D7" i="7" s="1"/>
  <c r="C12" i="3"/>
  <c r="G12" i="3" s="1"/>
  <c r="N10" i="2" s="1"/>
  <c r="C5" i="3"/>
  <c r="B8" i="3"/>
  <c r="C11" i="7" s="1"/>
  <c r="B9" i="3"/>
  <c r="C12" i="9" s="1"/>
  <c r="O8" i="2"/>
  <c r="C16" i="9"/>
  <c r="F16" i="9" s="1"/>
  <c r="B6" i="3"/>
  <c r="B7" i="3"/>
  <c r="B2" i="3"/>
  <c r="B10" i="3"/>
  <c r="C13" i="7" s="1"/>
  <c r="B3" i="3"/>
  <c r="B4" i="3"/>
  <c r="B12" i="3"/>
  <c r="B5" i="3"/>
  <c r="C6" i="10"/>
  <c r="D6" i="10"/>
  <c r="M16" i="9"/>
  <c r="G4" i="3"/>
  <c r="E6" i="7"/>
  <c r="D14" i="7"/>
  <c r="F14" i="7" s="1"/>
  <c r="D11" i="7"/>
  <c r="C16" i="7"/>
  <c r="G14" i="7"/>
  <c r="H11" i="3"/>
  <c r="B3" i="10" l="1"/>
  <c r="G3" i="10" s="1"/>
  <c r="H3" i="10" s="1"/>
  <c r="D5" i="9"/>
  <c r="L5" i="9" s="1"/>
  <c r="M5" i="9" s="1"/>
  <c r="M6" i="7"/>
  <c r="H13" i="3"/>
  <c r="D10" i="7"/>
  <c r="M11" i="7" s="1"/>
  <c r="I39" i="2"/>
  <c r="D10" i="9"/>
  <c r="B8" i="10"/>
  <c r="G8" i="10" s="1"/>
  <c r="H8" i="10" s="1"/>
  <c r="D12" i="9"/>
  <c r="F12" i="9" s="1"/>
  <c r="K39" i="2"/>
  <c r="L39" i="2"/>
  <c r="D13" i="9"/>
  <c r="B11" i="10"/>
  <c r="G11" i="10" s="1"/>
  <c r="H11" i="10" s="1"/>
  <c r="J39" i="2"/>
  <c r="B9" i="10"/>
  <c r="G9" i="10" s="1"/>
  <c r="H9" i="10" s="1"/>
  <c r="D11" i="9"/>
  <c r="B12" i="10"/>
  <c r="G12" i="10" s="1"/>
  <c r="H12" i="10" s="1"/>
  <c r="F39" i="2"/>
  <c r="D7" i="9"/>
  <c r="B5" i="10"/>
  <c r="G5" i="10" s="1"/>
  <c r="H5" i="10" s="1"/>
  <c r="H39" i="2"/>
  <c r="D9" i="9"/>
  <c r="G39" i="2"/>
  <c r="B7" i="10"/>
  <c r="G7" i="10" s="1"/>
  <c r="H7" i="10" s="1"/>
  <c r="N39" i="2"/>
  <c r="D8" i="9"/>
  <c r="B6" i="10"/>
  <c r="G6" i="10" s="1"/>
  <c r="H6" i="10" s="1"/>
  <c r="C21" i="9"/>
  <c r="E21" i="9" s="1"/>
  <c r="D15" i="9"/>
  <c r="L15" i="9" s="1"/>
  <c r="M15" i="9" s="1"/>
  <c r="D6" i="9"/>
  <c r="E39" i="2"/>
  <c r="C31" i="9"/>
  <c r="L14" i="9"/>
  <c r="M14" i="9" s="1"/>
  <c r="C30" i="9"/>
  <c r="G3" i="3"/>
  <c r="E10" i="2" s="1"/>
  <c r="G2" i="3"/>
  <c r="D10" i="2" s="1"/>
  <c r="H12" i="3"/>
  <c r="F31" i="7" s="1"/>
  <c r="I31" i="7" s="1"/>
  <c r="M7" i="7"/>
  <c r="D12" i="7"/>
  <c r="M13" i="7" s="1"/>
  <c r="H3" i="3"/>
  <c r="F22" i="7" s="1"/>
  <c r="I22" i="7" s="1"/>
  <c r="G10" i="3"/>
  <c r="L10" i="2" s="1"/>
  <c r="G6" i="3"/>
  <c r="H10" i="2" s="1"/>
  <c r="D9" i="7"/>
  <c r="G5" i="3"/>
  <c r="G10" i="2" s="1"/>
  <c r="D8" i="7"/>
  <c r="M8" i="7" s="1"/>
  <c r="H9" i="3"/>
  <c r="K11" i="2" s="1"/>
  <c r="K14" i="2" s="1"/>
  <c r="K15" i="2" s="1"/>
  <c r="K16" i="2" s="1"/>
  <c r="K38" i="2" s="1"/>
  <c r="D15" i="7"/>
  <c r="M16" i="7" s="1"/>
  <c r="H14" i="7"/>
  <c r="M14" i="7"/>
  <c r="F11" i="7"/>
  <c r="H4" i="3"/>
  <c r="E7" i="9" s="1"/>
  <c r="F10" i="2"/>
  <c r="C11" i="9"/>
  <c r="J8" i="2"/>
  <c r="H8" i="3"/>
  <c r="F27" i="7" s="1"/>
  <c r="I27" i="7" s="1"/>
  <c r="G11" i="7"/>
  <c r="H11" i="7"/>
  <c r="C9" i="7"/>
  <c r="G9" i="7" s="1"/>
  <c r="C15" i="7"/>
  <c r="O15" i="7" s="1"/>
  <c r="K8" i="2"/>
  <c r="C12" i="7"/>
  <c r="O13" i="7" s="1"/>
  <c r="G8" i="2"/>
  <c r="C8" i="9"/>
  <c r="F8" i="9" s="1"/>
  <c r="C8" i="7"/>
  <c r="C9" i="9"/>
  <c r="H8" i="2"/>
  <c r="C10" i="9"/>
  <c r="I8" i="2"/>
  <c r="C10" i="7"/>
  <c r="G10" i="7" s="1"/>
  <c r="H7" i="3"/>
  <c r="F26" i="7" s="1"/>
  <c r="I26" i="7" s="1"/>
  <c r="C15" i="9"/>
  <c r="F15" i="9" s="1"/>
  <c r="N8" i="2"/>
  <c r="C5" i="9"/>
  <c r="F5" i="9" s="1"/>
  <c r="D8" i="2"/>
  <c r="C5" i="7"/>
  <c r="F8" i="2"/>
  <c r="C7" i="9"/>
  <c r="C7" i="7"/>
  <c r="H2" i="3"/>
  <c r="D11" i="2" s="1"/>
  <c r="D14" i="2" s="1"/>
  <c r="C6" i="9"/>
  <c r="F6" i="9" s="1"/>
  <c r="E8" i="2"/>
  <c r="C6" i="7"/>
  <c r="F6" i="7" s="1"/>
  <c r="C13" i="9"/>
  <c r="L8" i="2"/>
  <c r="F32" i="7"/>
  <c r="I32" i="7" s="1"/>
  <c r="E16" i="9"/>
  <c r="O11" i="2"/>
  <c r="O14" i="2" s="1"/>
  <c r="O15" i="2" s="1"/>
  <c r="O16" i="2" s="1"/>
  <c r="O38" i="2" s="1"/>
  <c r="O42" i="2" s="1"/>
  <c r="E15" i="9"/>
  <c r="F30" i="7"/>
  <c r="I30" i="7" s="1"/>
  <c r="E14" i="9"/>
  <c r="M11" i="2"/>
  <c r="M14" i="2" s="1"/>
  <c r="M15" i="2" s="1"/>
  <c r="M16" i="2" s="1"/>
  <c r="M38" i="2" s="1"/>
  <c r="M42" i="2" s="1"/>
  <c r="H13" i="7"/>
  <c r="O14" i="7"/>
  <c r="F28" i="7"/>
  <c r="I28" i="7" s="1"/>
  <c r="E6" i="10"/>
  <c r="C7" i="10" s="1"/>
  <c r="G13" i="7"/>
  <c r="F13" i="7"/>
  <c r="F16" i="7"/>
  <c r="H16" i="7"/>
  <c r="G16" i="7"/>
  <c r="F11" i="9" l="1"/>
  <c r="F10" i="9"/>
  <c r="N11" i="2"/>
  <c r="N14" i="2" s="1"/>
  <c r="N15" i="2" s="1"/>
  <c r="N16" i="2" s="1"/>
  <c r="N38" i="2" s="1"/>
  <c r="N42" i="2" s="1"/>
  <c r="K42" i="2"/>
  <c r="F15" i="7"/>
  <c r="F9" i="9"/>
  <c r="F7" i="9"/>
  <c r="H10" i="7"/>
  <c r="L13" i="9"/>
  <c r="M13" i="9" s="1"/>
  <c r="C29" i="9"/>
  <c r="L7" i="9"/>
  <c r="M7" i="9" s="1"/>
  <c r="C23" i="9"/>
  <c r="L8" i="9"/>
  <c r="M8" i="9" s="1"/>
  <c r="C24" i="9"/>
  <c r="C28" i="9"/>
  <c r="L12" i="9"/>
  <c r="M12" i="9" s="1"/>
  <c r="E11" i="2"/>
  <c r="E14" i="2" s="1"/>
  <c r="E15" i="2" s="1"/>
  <c r="E16" i="2" s="1"/>
  <c r="E38" i="2" s="1"/>
  <c r="E42" i="2" s="1"/>
  <c r="C27" i="9"/>
  <c r="L11" i="9"/>
  <c r="M11" i="9" s="1"/>
  <c r="E12" i="9"/>
  <c r="D28" i="9" s="1"/>
  <c r="L6" i="9"/>
  <c r="M6" i="9" s="1"/>
  <c r="C22" i="9"/>
  <c r="E22" i="9" s="1"/>
  <c r="C26" i="9"/>
  <c r="L10" i="9"/>
  <c r="M10" i="9" s="1"/>
  <c r="F13" i="9"/>
  <c r="C25" i="9"/>
  <c r="L9" i="9"/>
  <c r="M9" i="9" s="1"/>
  <c r="M9" i="7"/>
  <c r="H10" i="3"/>
  <c r="E13" i="9" s="1"/>
  <c r="G13" i="9" s="1"/>
  <c r="E6" i="9"/>
  <c r="G6" i="9" s="1"/>
  <c r="M12" i="7"/>
  <c r="I11" i="2"/>
  <c r="I14" i="2" s="1"/>
  <c r="I15" i="2" s="1"/>
  <c r="I16" i="2" s="1"/>
  <c r="I38" i="2" s="1"/>
  <c r="I42" i="2" s="1"/>
  <c r="H9" i="7"/>
  <c r="E10" i="9"/>
  <c r="D26" i="9" s="1"/>
  <c r="M15" i="7"/>
  <c r="H5" i="3"/>
  <c r="M10" i="7"/>
  <c r="H6" i="3"/>
  <c r="J11" i="2"/>
  <c r="J14" i="2" s="1"/>
  <c r="J15" i="2" s="1"/>
  <c r="J16" i="2" s="1"/>
  <c r="J38" i="2" s="1"/>
  <c r="J42" i="2" s="1"/>
  <c r="E11" i="9"/>
  <c r="D27" i="9" s="1"/>
  <c r="F23" i="7"/>
  <c r="I23" i="7" s="1"/>
  <c r="F11" i="2"/>
  <c r="F14" i="2" s="1"/>
  <c r="F15" i="2" s="1"/>
  <c r="F16" i="2" s="1"/>
  <c r="F38" i="2" s="1"/>
  <c r="F42" i="2" s="1"/>
  <c r="G15" i="7"/>
  <c r="H15" i="7"/>
  <c r="O16" i="7"/>
  <c r="O12" i="7"/>
  <c r="O9" i="7"/>
  <c r="F9" i="7"/>
  <c r="E5" i="9"/>
  <c r="D21" i="9" s="1"/>
  <c r="F21" i="9" s="1"/>
  <c r="O11" i="7"/>
  <c r="H12" i="7"/>
  <c r="F12" i="7"/>
  <c r="G12" i="7"/>
  <c r="L11" i="2"/>
  <c r="L14" i="2" s="1"/>
  <c r="L15" i="2" s="1"/>
  <c r="L16" i="2" s="1"/>
  <c r="L38" i="2" s="1"/>
  <c r="L42" i="2" s="1"/>
  <c r="F21" i="7"/>
  <c r="I21" i="7" s="1"/>
  <c r="O10" i="7"/>
  <c r="F10" i="7"/>
  <c r="O6" i="7"/>
  <c r="H5" i="7"/>
  <c r="G5" i="7"/>
  <c r="F5" i="7"/>
  <c r="H6" i="7"/>
  <c r="F8" i="7"/>
  <c r="O8" i="7"/>
  <c r="H8" i="7"/>
  <c r="G8" i="7"/>
  <c r="O7" i="7"/>
  <c r="F7" i="7"/>
  <c r="G7" i="7"/>
  <c r="H7" i="7"/>
  <c r="G6" i="7"/>
  <c r="D32" i="9"/>
  <c r="G16" i="9"/>
  <c r="D31" i="9"/>
  <c r="G15" i="9"/>
  <c r="D30" i="9"/>
  <c r="G14" i="9"/>
  <c r="D29" i="9"/>
  <c r="G12" i="9"/>
  <c r="D23" i="9"/>
  <c r="G7" i="9"/>
  <c r="D7" i="10"/>
  <c r="E7" i="10" s="1"/>
  <c r="C8" i="10" s="1"/>
  <c r="D15" i="2"/>
  <c r="D16" i="2" s="1"/>
  <c r="D22" i="9" l="1"/>
  <c r="F22" i="9" s="1"/>
  <c r="G10" i="9"/>
  <c r="F29" i="7"/>
  <c r="I29" i="7" s="1"/>
  <c r="E23" i="9"/>
  <c r="E24" i="9" s="1"/>
  <c r="E25" i="9" s="1"/>
  <c r="E26" i="9" s="1"/>
  <c r="E27" i="9" s="1"/>
  <c r="E28" i="9" s="1"/>
  <c r="E29" i="9" s="1"/>
  <c r="E30" i="9" s="1"/>
  <c r="E31" i="9" s="1"/>
  <c r="E32" i="9" s="1"/>
  <c r="E9" i="9"/>
  <c r="H11" i="2"/>
  <c r="H14" i="2" s="1"/>
  <c r="H15" i="2" s="1"/>
  <c r="H16" i="2" s="1"/>
  <c r="H38" i="2" s="1"/>
  <c r="H42" i="2" s="1"/>
  <c r="F25" i="7"/>
  <c r="I25" i="7" s="1"/>
  <c r="E8" i="9"/>
  <c r="F24" i="7"/>
  <c r="I24" i="7" s="1"/>
  <c r="G11" i="2"/>
  <c r="G14" i="2" s="1"/>
  <c r="G15" i="2" s="1"/>
  <c r="G16" i="2" s="1"/>
  <c r="G38" i="2" s="1"/>
  <c r="G42" i="2" s="1"/>
  <c r="G11" i="9"/>
  <c r="G5" i="9"/>
  <c r="G21" i="9"/>
  <c r="D8" i="10"/>
  <c r="D30" i="2"/>
  <c r="E30" i="2" s="1"/>
  <c r="D38" i="2"/>
  <c r="D42" i="2" s="1"/>
  <c r="D44" i="2" s="1"/>
  <c r="D21" i="2" s="1"/>
  <c r="D24" i="2" s="1"/>
  <c r="D31" i="2" l="1"/>
  <c r="D33" i="2" s="1"/>
  <c r="G9" i="9"/>
  <c r="D25" i="9"/>
  <c r="G8" i="9"/>
  <c r="D24" i="9"/>
  <c r="G22" i="9"/>
  <c r="F23" i="9"/>
  <c r="E8" i="10"/>
  <c r="C9" i="10" s="1"/>
  <c r="E41" i="2"/>
  <c r="E44" i="2" s="1"/>
  <c r="E21" i="2" s="1"/>
  <c r="E24" i="2" s="1"/>
  <c r="F30" i="2"/>
  <c r="E31" i="2"/>
  <c r="E33" i="2" s="1"/>
  <c r="D34" i="2" l="1"/>
  <c r="F24" i="9"/>
  <c r="G23" i="9"/>
  <c r="D9" i="10"/>
  <c r="E34" i="2"/>
  <c r="F41" i="2"/>
  <c r="F44" i="2" s="1"/>
  <c r="F21" i="2" s="1"/>
  <c r="F24" i="2" s="1"/>
  <c r="G30" i="2"/>
  <c r="F31" i="2"/>
  <c r="F33" i="2" s="1"/>
  <c r="F25" i="9" l="1"/>
  <c r="G24" i="9"/>
  <c r="E9" i="10"/>
  <c r="C10" i="10" s="1"/>
  <c r="G41" i="2"/>
  <c r="G44" i="2" s="1"/>
  <c r="G21" i="2" s="1"/>
  <c r="G24" i="2" s="1"/>
  <c r="F34" i="2"/>
  <c r="H30" i="2"/>
  <c r="G31" i="2"/>
  <c r="G33" i="2" s="1"/>
  <c r="F26" i="9" l="1"/>
  <c r="G25" i="9"/>
  <c r="D10" i="10"/>
  <c r="E10" i="10" s="1"/>
  <c r="C11" i="10" s="1"/>
  <c r="H41" i="2"/>
  <c r="H44" i="2" s="1"/>
  <c r="H21" i="2" s="1"/>
  <c r="H24" i="2" s="1"/>
  <c r="G34" i="2"/>
  <c r="I30" i="2"/>
  <c r="H31" i="2"/>
  <c r="H33" i="2" s="1"/>
  <c r="I41" i="2" l="1"/>
  <c r="I44" i="2" s="1"/>
  <c r="I21" i="2" s="1"/>
  <c r="I24" i="2" s="1"/>
  <c r="F27" i="9"/>
  <c r="G26" i="9"/>
  <c r="D11" i="10"/>
  <c r="E11" i="10" s="1"/>
  <c r="C12" i="10" s="1"/>
  <c r="J30" i="2"/>
  <c r="I31" i="2"/>
  <c r="I33" i="2" s="1"/>
  <c r="H34" i="2"/>
  <c r="J41" i="2" l="1"/>
  <c r="J44" i="2" s="1"/>
  <c r="K41" i="2" s="1"/>
  <c r="K44" i="2" s="1"/>
  <c r="F28" i="9"/>
  <c r="G27" i="9"/>
  <c r="D12" i="10"/>
  <c r="E12" i="10" s="1"/>
  <c r="C13" i="10"/>
  <c r="I34" i="2"/>
  <c r="K30" i="2"/>
  <c r="J31" i="2"/>
  <c r="J33" i="2" s="1"/>
  <c r="J21" i="2" l="1"/>
  <c r="J24" i="2" s="1"/>
  <c r="J34" i="2" s="1"/>
  <c r="F29" i="9"/>
  <c r="G28" i="9"/>
  <c r="D13" i="10"/>
  <c r="E13" i="10" s="1"/>
  <c r="C14" i="10"/>
  <c r="K21" i="2"/>
  <c r="K24" i="2" s="1"/>
  <c r="L41" i="2"/>
  <c r="L44" i="2" s="1"/>
  <c r="L30" i="2"/>
  <c r="K31" i="2"/>
  <c r="K33" i="2" s="1"/>
  <c r="F30" i="9" l="1"/>
  <c r="G29" i="9"/>
  <c r="D14" i="10"/>
  <c r="E14" i="10" s="1"/>
  <c r="M30" i="2"/>
  <c r="L31" i="2"/>
  <c r="L33" i="2" s="1"/>
  <c r="L21" i="2"/>
  <c r="L24" i="2" s="1"/>
  <c r="M41" i="2"/>
  <c r="M44" i="2" s="1"/>
  <c r="K34" i="2"/>
  <c r="F31" i="9" l="1"/>
  <c r="G30" i="9"/>
  <c r="L34" i="2"/>
  <c r="M21" i="2"/>
  <c r="M24" i="2" s="1"/>
  <c r="N41" i="2"/>
  <c r="N44" i="2" s="1"/>
  <c r="N30" i="2"/>
  <c r="M31" i="2"/>
  <c r="M33" i="2" s="1"/>
  <c r="F32" i="9" l="1"/>
  <c r="G32" i="9" s="1"/>
  <c r="G31" i="9"/>
  <c r="M34" i="2"/>
  <c r="O41" i="2"/>
  <c r="O44" i="2" s="1"/>
  <c r="O21" i="2" s="1"/>
  <c r="O24" i="2" s="1"/>
  <c r="N21" i="2"/>
  <c r="N24" i="2" s="1"/>
  <c r="O30" i="2"/>
  <c r="O31" i="2" s="1"/>
  <c r="O33" i="2" s="1"/>
  <c r="N31" i="2"/>
  <c r="N33" i="2" s="1"/>
  <c r="O34" i="2" l="1"/>
  <c r="N34" i="2"/>
</calcChain>
</file>

<file path=xl/sharedStrings.xml><?xml version="1.0" encoding="utf-8"?>
<sst xmlns="http://schemas.openxmlformats.org/spreadsheetml/2006/main" count="133" uniqueCount="86">
  <si>
    <t>Assumptions</t>
  </si>
  <si>
    <t>Revenue</t>
  </si>
  <si>
    <t>Payroll</t>
  </si>
  <si>
    <t>CAPEX</t>
  </si>
  <si>
    <t>Best</t>
  </si>
  <si>
    <t>Base</t>
  </si>
  <si>
    <t>Worst</t>
  </si>
  <si>
    <t xml:space="preserve">3 Statement Financial Model </t>
  </si>
  <si>
    <t>SCENARIO</t>
  </si>
  <si>
    <t>Revnue</t>
  </si>
  <si>
    <t>Income Statement</t>
  </si>
  <si>
    <t>OPEX</t>
  </si>
  <si>
    <t>EBITDA</t>
  </si>
  <si>
    <t>Depreciation</t>
  </si>
  <si>
    <t>Interest</t>
  </si>
  <si>
    <t>EBIT</t>
  </si>
  <si>
    <t>Taxes</t>
  </si>
  <si>
    <t>Net Income</t>
  </si>
  <si>
    <t>Balance Sheet</t>
  </si>
  <si>
    <t>Cash &amp; Cash Equivalents</t>
  </si>
  <si>
    <t>Net Fixed Asset (NBV)</t>
  </si>
  <si>
    <t>Total Assets</t>
  </si>
  <si>
    <t>Loan Balance</t>
  </si>
  <si>
    <t>Total Liabilities</t>
  </si>
  <si>
    <t>Share Capital</t>
  </si>
  <si>
    <t>Retained Earnings</t>
  </si>
  <si>
    <t>Total Shareolders Equity</t>
  </si>
  <si>
    <t xml:space="preserve">Total Liabilities &amp; Equity </t>
  </si>
  <si>
    <t>Cash Flow Statement</t>
  </si>
  <si>
    <t>Cash Flow in Operating Activities</t>
  </si>
  <si>
    <t>Cash Flow in Investing Activities</t>
  </si>
  <si>
    <t>Cash Flow in Financing Activities</t>
  </si>
  <si>
    <t>Opening Cash</t>
  </si>
  <si>
    <t>Net Cash Movement</t>
  </si>
  <si>
    <t>Closing Cash</t>
  </si>
  <si>
    <t>Period</t>
  </si>
  <si>
    <t>Payroll Cost</t>
  </si>
  <si>
    <t>Other OPEX</t>
  </si>
  <si>
    <t>Operating Cash Flow</t>
  </si>
  <si>
    <t>Revenue Drivers</t>
  </si>
  <si>
    <t>Month</t>
  </si>
  <si>
    <t>Effective Sales HC</t>
  </si>
  <si>
    <t>Revenue Per Rep</t>
  </si>
  <si>
    <t>Payroll cost</t>
  </si>
  <si>
    <t>Total HR Expansion Cost</t>
  </si>
  <si>
    <t>Source</t>
  </si>
  <si>
    <t>Amount</t>
  </si>
  <si>
    <t>Start_Date</t>
  </si>
  <si>
    <t>Interest_Rate</t>
  </si>
  <si>
    <t>Repayment_Period_Months</t>
  </si>
  <si>
    <t>Loan</t>
  </si>
  <si>
    <t>Equity</t>
  </si>
  <si>
    <t>Total OPEX</t>
  </si>
  <si>
    <t>EBIDA</t>
  </si>
  <si>
    <t>Loan Repayment Schedule</t>
  </si>
  <si>
    <t>Monthly Repayment</t>
  </si>
  <si>
    <t>Principal</t>
  </si>
  <si>
    <t>Monthly Depreciation</t>
  </si>
  <si>
    <t>Net Book Value (NBV)</t>
  </si>
  <si>
    <t>Controllable VS Structural Cost</t>
  </si>
  <si>
    <t>Payroll/Revenue</t>
  </si>
  <si>
    <t>Other OPEX/Revenue</t>
  </si>
  <si>
    <t>Total OPEX/Revenue</t>
  </si>
  <si>
    <t>Cost Efficiency Diagnistics</t>
  </si>
  <si>
    <t>Revenue per payroll</t>
  </si>
  <si>
    <t>Revenue per OPEX</t>
  </si>
  <si>
    <t>EBITDA Margin</t>
  </si>
  <si>
    <t>MoM change in Payroll Cost</t>
  </si>
  <si>
    <t>MoM change in Other OPEX</t>
  </si>
  <si>
    <t>MoM change in Revenue</t>
  </si>
  <si>
    <t>Trend &amp; Variance Analysis</t>
  </si>
  <si>
    <t>Risk Flag</t>
  </si>
  <si>
    <t>Net Cash Move</t>
  </si>
  <si>
    <t>CAPEX Timing &amp; Intensity Review</t>
  </si>
  <si>
    <t>CAPEX/Revenue</t>
  </si>
  <si>
    <t>CAPEX/EBITDA</t>
  </si>
  <si>
    <t>CAPEX Coverage Test</t>
  </si>
  <si>
    <t>Cash Coverage Flag</t>
  </si>
  <si>
    <t>Investment Feasibility</t>
  </si>
  <si>
    <t>Commulative CAPEX</t>
  </si>
  <si>
    <t>Commulated EBITDA</t>
  </si>
  <si>
    <t>Payback</t>
  </si>
  <si>
    <t>FCF(Free Cash Flow)</t>
  </si>
  <si>
    <t>Equity Inflow</t>
  </si>
  <si>
    <t>Adjusted FCF</t>
  </si>
  <si>
    <t>Liquidity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</si>
</sst>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£&quot;#,##0.00;[Red]\-&quot;£&quot;#,##0.00"/>
    <numFmt numFmtId="164" formatCode="yyyy\-mm"/>
    <numFmt numFmtId="165" formatCode="_-[$£-809]* #,##0.00_-;\-[$£-809]* #,##0.00_-;_-[$£-809]* &quot;-&quot;??_-;_-@"/>
    <numFmt numFmtId="166" formatCode="_-[$£-809]* #,##0.00_-;\-[$£-809]* #,##0.00_-;_-[$£-809]* &quot;-&quot;??_-;_-@_-"/>
    <numFmt numFmtId="167" formatCode="0.0%"/>
    <numFmt numFmtId="175" formatCode="0.000"/>
  </numFmts>
  <fonts count="9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 (Body)"/>
    </font>
    <font>
      <sz val="13"/>
      <color theme="1"/>
      <name val="Calibri (Body)"/>
    </font>
    <font>
      <b/>
      <sz val="13"/>
      <color theme="0"/>
      <name val="Calibri (Body)"/>
    </font>
    <font>
      <sz val="13"/>
      <name val="Calibri (Body)"/>
    </font>
    <font>
      <sz val="13"/>
      <color theme="0"/>
      <name val="Calibri (Body)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C8C8C8"/>
        <bgColor rgb="FFC8C8C8"/>
      </patternFill>
    </fill>
    <fill>
      <patternFill patternType="solid">
        <fgColor rgb="FFB4C6E7"/>
        <bgColor rgb="FFB4C6E7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9" fontId="0" fillId="0" borderId="0" xfId="0" applyNumberForma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4" fillId="2" borderId="0" xfId="0" applyFont="1" applyFill="1"/>
    <xf numFmtId="0" fontId="6" fillId="2" borderId="0" xfId="0" applyFont="1" applyFill="1"/>
    <xf numFmtId="0" fontId="3" fillId="4" borderId="0" xfId="0" applyFont="1" applyFill="1"/>
    <xf numFmtId="164" fontId="3" fillId="4" borderId="0" xfId="0" applyNumberFormat="1" applyFont="1" applyFill="1"/>
    <xf numFmtId="165" fontId="3" fillId="0" borderId="0" xfId="0" applyNumberFormat="1" applyFont="1"/>
    <xf numFmtId="9" fontId="3" fillId="0" borderId="0" xfId="0" applyNumberFormat="1" applyFont="1"/>
    <xf numFmtId="0" fontId="3" fillId="0" borderId="2" xfId="0" applyFont="1" applyBorder="1"/>
    <xf numFmtId="165" fontId="3" fillId="0" borderId="2" xfId="0" applyNumberFormat="1" applyFont="1" applyBorder="1"/>
    <xf numFmtId="0" fontId="3" fillId="5" borderId="1" xfId="0" applyFont="1" applyFill="1" applyBorder="1"/>
    <xf numFmtId="165" fontId="3" fillId="5" borderId="1" xfId="0" applyNumberFormat="1" applyFont="1" applyFill="1" applyBorder="1"/>
    <xf numFmtId="0" fontId="2" fillId="5" borderId="1" xfId="0" applyFont="1" applyFill="1" applyBorder="1"/>
    <xf numFmtId="165" fontId="2" fillId="5" borderId="1" xfId="0" applyNumberFormat="1" applyFont="1" applyFill="1" applyBorder="1"/>
    <xf numFmtId="0" fontId="2" fillId="0" borderId="1" xfId="0" applyFont="1" applyBorder="1"/>
    <xf numFmtId="0" fontId="3" fillId="0" borderId="1" xfId="0" applyFont="1" applyBorder="1"/>
    <xf numFmtId="165" fontId="2" fillId="0" borderId="1" xfId="0" applyNumberFormat="1" applyFont="1" applyBorder="1"/>
    <xf numFmtId="0" fontId="2" fillId="6" borderId="1" xfId="0" applyFont="1" applyFill="1" applyBorder="1"/>
    <xf numFmtId="165" fontId="2" fillId="6" borderId="1" xfId="0" applyNumberFormat="1" applyFont="1" applyFill="1" applyBorder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4" fontId="0" fillId="0" borderId="0" xfId="0" applyNumberFormat="1"/>
    <xf numFmtId="17" fontId="0" fillId="0" borderId="0" xfId="0" applyNumberFormat="1"/>
    <xf numFmtId="0" fontId="4" fillId="2" borderId="0" xfId="0" applyFont="1" applyFill="1" applyAlignment="1">
      <alignment horizontal="center"/>
    </xf>
    <xf numFmtId="0" fontId="5" fillId="0" borderId="0" xfId="0" applyFont="1"/>
    <xf numFmtId="166" fontId="0" fillId="0" borderId="0" xfId="0" applyNumberFormat="1"/>
    <xf numFmtId="8" fontId="0" fillId="0" borderId="0" xfId="0" applyNumberFormat="1"/>
    <xf numFmtId="0" fontId="8" fillId="0" borderId="0" xfId="0" applyFont="1"/>
    <xf numFmtId="14" fontId="0" fillId="0" borderId="0" xfId="0" applyNumberFormat="1" applyAlignment="1">
      <alignment horizontal="left"/>
    </xf>
    <xf numFmtId="167" fontId="0" fillId="0" borderId="0" xfId="1" applyNumberFormat="1" applyFont="1"/>
    <xf numFmtId="17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C44CF-54F9-E947-BA09-E90C78BDB40F}">
  <dimension ref="B1:O56"/>
  <sheetViews>
    <sheetView showGridLines="0" tabSelected="1" topLeftCell="D1" zoomScale="85" zoomScaleNormal="85" workbookViewId="0">
      <selection activeCell="B4" sqref="B4"/>
    </sheetView>
  </sheetViews>
  <sheetFormatPr defaultColWidth="14.5" defaultRowHeight="16.8"/>
  <cols>
    <col min="1" max="1" width="8.5" style="4" customWidth="1"/>
    <col min="2" max="2" width="19" style="4" customWidth="1"/>
    <col min="3" max="3" width="17.296875" style="4" customWidth="1"/>
    <col min="4" max="4" width="16.5" style="4" bestFit="1" customWidth="1"/>
    <col min="5" max="6" width="20.5" style="4" customWidth="1"/>
    <col min="7" max="7" width="19.5" style="4" customWidth="1"/>
    <col min="8" max="8" width="19.69921875" style="4" customWidth="1"/>
    <col min="9" max="15" width="16.5" style="4" bestFit="1" customWidth="1"/>
    <col min="16" max="16384" width="14.5" style="4"/>
  </cols>
  <sheetData>
    <row r="1" spans="2:15" ht="15" customHeight="1">
      <c r="B1" s="3"/>
    </row>
    <row r="2" spans="2:15" ht="15" customHeight="1">
      <c r="B2" s="32" t="s">
        <v>7</v>
      </c>
      <c r="C2" s="33"/>
      <c r="D2" s="33"/>
      <c r="E2" s="33"/>
      <c r="F2" s="33"/>
      <c r="G2" s="33"/>
      <c r="H2" s="5"/>
      <c r="I2" s="5"/>
      <c r="J2" s="5"/>
      <c r="K2" s="5"/>
      <c r="L2" s="5"/>
      <c r="M2" s="5"/>
      <c r="N2" s="5"/>
      <c r="O2" s="5"/>
    </row>
    <row r="3" spans="2:15" ht="15" customHeight="1">
      <c r="B3" s="6" t="s">
        <v>8</v>
      </c>
      <c r="C3" s="7" t="s">
        <v>9</v>
      </c>
      <c r="D3" s="7" t="s">
        <v>2</v>
      </c>
      <c r="E3" s="7" t="s">
        <v>3</v>
      </c>
    </row>
    <row r="4" spans="2:15" ht="15" customHeight="1">
      <c r="B4" s="8" t="s">
        <v>4</v>
      </c>
      <c r="C4" s="9">
        <f>INDEX(Assumptions!B3:B5,MATCH('3 Statement Model'!B4,Assumptions!A3:A5,0))</f>
        <v>0.2</v>
      </c>
      <c r="D4" s="9">
        <f>INDEX(Assumptions!C3:C5,MATCH('3 Statement Model'!B4,Assumptions!A3:A5,0))</f>
        <v>0</v>
      </c>
      <c r="E4" s="9">
        <f>INDEX(Assumptions!D3:D5,MATCH('3 Statement Model'!B4,Assumptions!A3:A5,0))</f>
        <v>0</v>
      </c>
    </row>
    <row r="5" spans="2:15" ht="15" customHeight="1">
      <c r="B5" s="8"/>
      <c r="C5" s="9"/>
      <c r="D5" s="9"/>
      <c r="E5" s="9"/>
    </row>
    <row r="6" spans="2:15" ht="15" customHeight="1">
      <c r="B6" s="10" t="s">
        <v>10</v>
      </c>
      <c r="C6" s="11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2:15" ht="15" customHeight="1">
      <c r="B7" s="12"/>
      <c r="C7" s="12"/>
      <c r="D7" s="13">
        <v>46023</v>
      </c>
      <c r="E7" s="13">
        <v>46054</v>
      </c>
      <c r="F7" s="13">
        <v>46082</v>
      </c>
      <c r="G7" s="13">
        <v>46113</v>
      </c>
      <c r="H7" s="13">
        <v>46143</v>
      </c>
      <c r="I7" s="13">
        <v>46174</v>
      </c>
      <c r="J7" s="13">
        <v>46204</v>
      </c>
      <c r="K7" s="13">
        <v>46235</v>
      </c>
      <c r="L7" s="13">
        <v>46266</v>
      </c>
      <c r="M7" s="13">
        <v>46296</v>
      </c>
      <c r="N7" s="13">
        <v>46327</v>
      </c>
      <c r="O7" s="13">
        <v>46357</v>
      </c>
    </row>
    <row r="8" spans="2:15" ht="15" customHeight="1">
      <c r="B8" s="4" t="s">
        <v>1</v>
      </c>
      <c r="D8" s="14">
        <f>INDEX('Financial Forecast'!$B$2:$B$13,MATCH('3 Statement Model'!D7,'Financial Forecast'!$A$2:$A$13,0))</f>
        <v>1380000</v>
      </c>
      <c r="E8" s="14">
        <f>INDEX('Financial Forecast'!$B$2:$B$13,MATCH('3 Statement Model'!E7,'Financial Forecast'!$A$2:$A$13,0))</f>
        <v>1931454</v>
      </c>
      <c r="F8" s="14">
        <f>INDEX('Financial Forecast'!$B$2:$B$13,MATCH('3 Statement Model'!F7,'Financial Forecast'!$A$2:$A$13,0))</f>
        <v>2122909.1999999997</v>
      </c>
      <c r="G8" s="14">
        <f>INDEX('Financial Forecast'!$B$2:$B$13,MATCH('3 Statement Model'!G7,'Financial Forecast'!$A$2:$A$13,0))</f>
        <v>2314363.1999999997</v>
      </c>
      <c r="H8" s="14">
        <f>INDEX('Financial Forecast'!$B$2:$B$13,MATCH('3 Statement Model'!H7,'Financial Forecast'!$A$2:$A$13,0))</f>
        <v>2505818.4</v>
      </c>
      <c r="I8" s="14">
        <f>INDEX('Financial Forecast'!$B$2:$B$13,MATCH('3 Statement Model'!I7,'Financial Forecast'!$A$2:$A$13,0))</f>
        <v>2535272.4</v>
      </c>
      <c r="J8" s="14">
        <f>INDEX('Financial Forecast'!$B$2:$B$13,MATCH('3 Statement Model'!J7,'Financial Forecast'!$A$2:$A$13,0))</f>
        <v>2564727.6</v>
      </c>
      <c r="K8" s="14">
        <f>INDEX('Financial Forecast'!$B$2:$B$13,MATCH('3 Statement Model'!K7,'Financial Forecast'!$A$2:$A$13,0))</f>
        <v>2594181.6</v>
      </c>
      <c r="L8" s="14">
        <f>INDEX('Financial Forecast'!$B$2:$B$13,MATCH('3 Statement Model'!L7,'Financial Forecast'!$A$2:$A$13,0))</f>
        <v>2623636.7999999998</v>
      </c>
      <c r="M8" s="14">
        <f>INDEX('Financial Forecast'!$B$2:$B$13,MATCH('3 Statement Model'!M7,'Financial Forecast'!$A$2:$A$13,0))</f>
        <v>2210909</v>
      </c>
      <c r="N8" s="14">
        <f>INDEX('Financial Forecast'!$B$2:$B$13,MATCH('3 Statement Model'!N7,'Financial Forecast'!$A$2:$A$13,0))</f>
        <v>2682546</v>
      </c>
      <c r="O8" s="14">
        <f>INDEX('Financial Forecast'!$B$2:$B$13,MATCH('3 Statement Model'!O7,'Financial Forecast'!$A$2:$A$13,0))</f>
        <v>2712000</v>
      </c>
    </row>
    <row r="9" spans="2:15" ht="15" customHeight="1"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2:15" ht="15" customHeight="1">
      <c r="B10" s="3" t="s">
        <v>11</v>
      </c>
      <c r="D10" s="14">
        <f>'Financial Forecast'!G2</f>
        <v>1254293.615</v>
      </c>
      <c r="E10" s="14">
        <f>'Financial Forecast'!G3</f>
        <v>1269516.115</v>
      </c>
      <c r="F10" s="14">
        <f>'Financial Forecast'!G4</f>
        <v>1283729.0183333333</v>
      </c>
      <c r="G10" s="14">
        <f>'Financial Forecast'!G5</f>
        <v>1279774.0183333333</v>
      </c>
      <c r="H10" s="14">
        <f>'Financial Forecast'!G6</f>
        <v>1284320.0183333333</v>
      </c>
      <c r="I10" s="14">
        <f>'Financial Forecast'!G7</f>
        <v>1288865.0183333333</v>
      </c>
      <c r="J10" s="14">
        <f>'Financial Forecast'!G8</f>
        <v>1293411.0183333333</v>
      </c>
      <c r="K10" s="14">
        <f>'Financial Forecast'!G9</f>
        <v>1297956.0183333333</v>
      </c>
      <c r="L10" s="14">
        <f>'Financial Forecast'!G10</f>
        <v>1302502.0183333333</v>
      </c>
      <c r="M10" s="14">
        <f>'Financial Forecast'!G11</f>
        <v>1307047.0183333333</v>
      </c>
      <c r="N10" s="14">
        <f>'Financial Forecast'!G12</f>
        <v>1311593.0183333333</v>
      </c>
      <c r="O10" s="14">
        <f>'Financial Forecast'!G13</f>
        <v>1316138.0183333333</v>
      </c>
    </row>
    <row r="11" spans="2:15" ht="15" customHeight="1">
      <c r="B11" s="4" t="s">
        <v>12</v>
      </c>
      <c r="D11" s="14">
        <f>'Financial Forecast'!H2</f>
        <v>125706.38500000001</v>
      </c>
      <c r="E11" s="14">
        <f>'Financial Forecast'!H3</f>
        <v>661937.88500000001</v>
      </c>
      <c r="F11" s="14">
        <f>'Financial Forecast'!H4</f>
        <v>839180.18166666641</v>
      </c>
      <c r="G11" s="14">
        <f>'Financial Forecast'!H5</f>
        <v>1034589.1816666664</v>
      </c>
      <c r="H11" s="14">
        <f>'Financial Forecast'!H6</f>
        <v>1221498.3816666666</v>
      </c>
      <c r="I11" s="14">
        <f>'Financial Forecast'!H7</f>
        <v>1246407.3816666666</v>
      </c>
      <c r="J11" s="14">
        <f>'Financial Forecast'!H8</f>
        <v>1271316.5816666668</v>
      </c>
      <c r="K11" s="14">
        <f>'Financial Forecast'!H9</f>
        <v>1296225.5816666668</v>
      </c>
      <c r="L11" s="14">
        <f>'Financial Forecast'!H10</f>
        <v>1321134.7816666665</v>
      </c>
      <c r="M11" s="14">
        <f>'Financial Forecast'!H11</f>
        <v>903861.98166666669</v>
      </c>
      <c r="N11" s="14">
        <f>'Financial Forecast'!H12</f>
        <v>1370952.9816666667</v>
      </c>
      <c r="O11" s="14">
        <f>'Financial Forecast'!H13</f>
        <v>1395861.9816666667</v>
      </c>
    </row>
    <row r="12" spans="2:15" ht="15" customHeight="1">
      <c r="B12" s="4" t="s">
        <v>13</v>
      </c>
      <c r="D12" s="14">
        <f>CAPEX!A20</f>
        <v>3333.3333333333335</v>
      </c>
      <c r="E12" s="14">
        <f>CAPEX!B20</f>
        <v>3666.666666666667</v>
      </c>
      <c r="F12" s="14">
        <f>CAPEX!C20</f>
        <v>4000.0000000000005</v>
      </c>
      <c r="G12" s="14">
        <f>CAPEX!D20</f>
        <v>4333.3333333333339</v>
      </c>
      <c r="H12" s="14">
        <f>CAPEX!E20</f>
        <v>4666.666666666667</v>
      </c>
      <c r="I12" s="14">
        <f>CAPEX!F20</f>
        <v>5000</v>
      </c>
      <c r="J12" s="14">
        <f>CAPEX!G20</f>
        <v>5333.333333333333</v>
      </c>
      <c r="K12" s="14">
        <f>CAPEX!H20</f>
        <v>5666.6666666666661</v>
      </c>
      <c r="L12" s="14">
        <f>CAPEX!I20</f>
        <v>5999.9999999999991</v>
      </c>
      <c r="M12" s="14">
        <f>CAPEX!J20</f>
        <v>6333.3333333333321</v>
      </c>
      <c r="N12" s="14">
        <f>CAPEX!K20</f>
        <v>6666.6666666666652</v>
      </c>
      <c r="O12" s="14">
        <f>CAPEX!L20</f>
        <v>6999.9999999999982</v>
      </c>
    </row>
    <row r="13" spans="2:15" ht="15" customHeight="1">
      <c r="B13" s="16" t="s">
        <v>14</v>
      </c>
      <c r="C13" s="16"/>
      <c r="D13" s="17">
        <f>'Financing and Funding Analysis'!D3</f>
        <v>3333.3333333333335</v>
      </c>
      <c r="E13" s="17">
        <f>'Financing and Funding Analysis'!D4</f>
        <v>3204.7979173682747</v>
      </c>
      <c r="F13" s="17">
        <f>'Financing and Funding Analysis'!D5</f>
        <v>3075.4055986301159</v>
      </c>
      <c r="G13" s="17">
        <f>'Financing and Funding Analysis'!D6</f>
        <v>2945.1506644337028</v>
      </c>
      <c r="H13" s="17">
        <f>'Financing and Funding Analysis'!D7</f>
        <v>2814.0273640093142</v>
      </c>
      <c r="I13" s="17">
        <f>'Financing and Funding Analysis'!D8</f>
        <v>2682.0299082487622</v>
      </c>
      <c r="J13" s="17">
        <f>'Financing and Funding Analysis'!D9</f>
        <v>2549.1524694498066</v>
      </c>
      <c r="K13" s="17">
        <f>'Financing and Funding Analysis'!D10</f>
        <v>2415.389181058858</v>
      </c>
      <c r="L13" s="17">
        <f>'Financing and Funding Analysis'!D11</f>
        <v>2280.7341374119701</v>
      </c>
      <c r="M13" s="17">
        <f>'Financing and Funding Analysis'!D12</f>
        <v>2145.1813934741026</v>
      </c>
      <c r="N13" s="17">
        <f>'Financing and Funding Analysis'!D13</f>
        <v>2008.7249645766497</v>
      </c>
      <c r="O13" s="17">
        <f>'Financing and Funding Analysis'!D14</f>
        <v>1871.3588261532134</v>
      </c>
    </row>
    <row r="14" spans="2:15" ht="15" customHeight="1">
      <c r="B14" s="3" t="s">
        <v>15</v>
      </c>
      <c r="D14" s="14">
        <f t="shared" ref="D14:O14" si="0">D11-D12</f>
        <v>122373.05166666668</v>
      </c>
      <c r="E14" s="14">
        <f t="shared" si="0"/>
        <v>658271.21833333338</v>
      </c>
      <c r="F14" s="14">
        <f t="shared" si="0"/>
        <v>835180.18166666641</v>
      </c>
      <c r="G14" s="14">
        <f t="shared" si="0"/>
        <v>1030255.848333333</v>
      </c>
      <c r="H14" s="14">
        <f t="shared" si="0"/>
        <v>1216831.7149999999</v>
      </c>
      <c r="I14" s="14">
        <f t="shared" si="0"/>
        <v>1241407.3816666666</v>
      </c>
      <c r="J14" s="14">
        <f t="shared" si="0"/>
        <v>1265983.2483333335</v>
      </c>
      <c r="K14" s="14">
        <f t="shared" si="0"/>
        <v>1290558.915</v>
      </c>
      <c r="L14" s="14">
        <f t="shared" si="0"/>
        <v>1315134.7816666665</v>
      </c>
      <c r="M14" s="14">
        <f t="shared" si="0"/>
        <v>897528.64833333332</v>
      </c>
      <c r="N14" s="14">
        <f t="shared" si="0"/>
        <v>1364286.3149999999</v>
      </c>
      <c r="O14" s="14">
        <f t="shared" si="0"/>
        <v>1388861.9816666667</v>
      </c>
    </row>
    <row r="15" spans="2:15" ht="15" customHeight="1">
      <c r="B15" s="4" t="s">
        <v>16</v>
      </c>
      <c r="D15" s="14">
        <f t="shared" ref="D15:O15" si="1">D14*0.3</f>
        <v>36711.915500000003</v>
      </c>
      <c r="E15" s="14">
        <f t="shared" si="1"/>
        <v>197481.36550000001</v>
      </c>
      <c r="F15" s="14">
        <f t="shared" si="1"/>
        <v>250554.05449999991</v>
      </c>
      <c r="G15" s="14">
        <f t="shared" si="1"/>
        <v>309076.75449999992</v>
      </c>
      <c r="H15" s="14">
        <f t="shared" si="1"/>
        <v>365049.51449999993</v>
      </c>
      <c r="I15" s="14">
        <f t="shared" si="1"/>
        <v>372422.21449999994</v>
      </c>
      <c r="J15" s="14">
        <f t="shared" si="1"/>
        <v>379794.97450000007</v>
      </c>
      <c r="K15" s="14">
        <f t="shared" si="1"/>
        <v>387167.67450000002</v>
      </c>
      <c r="L15" s="14">
        <f t="shared" si="1"/>
        <v>394540.43449999992</v>
      </c>
      <c r="M15" s="14">
        <f t="shared" si="1"/>
        <v>269258.59450000001</v>
      </c>
      <c r="N15" s="14">
        <f t="shared" si="1"/>
        <v>409285.89449999999</v>
      </c>
      <c r="O15" s="14">
        <f t="shared" si="1"/>
        <v>416658.59450000001</v>
      </c>
    </row>
    <row r="16" spans="2:15" ht="15" customHeight="1">
      <c r="B16" s="18" t="s">
        <v>17</v>
      </c>
      <c r="C16" s="18"/>
      <c r="D16" s="19">
        <f t="shared" ref="D16:O16" si="2">D14-D15</f>
        <v>85661.136166666678</v>
      </c>
      <c r="E16" s="19">
        <f t="shared" si="2"/>
        <v>460789.85283333337</v>
      </c>
      <c r="F16" s="19">
        <f t="shared" si="2"/>
        <v>584626.12716666656</v>
      </c>
      <c r="G16" s="19">
        <f t="shared" si="2"/>
        <v>721179.09383333311</v>
      </c>
      <c r="H16" s="19">
        <f t="shared" si="2"/>
        <v>851782.20049999992</v>
      </c>
      <c r="I16" s="19">
        <f t="shared" si="2"/>
        <v>868985.16716666659</v>
      </c>
      <c r="J16" s="19">
        <f t="shared" si="2"/>
        <v>886188.27383333351</v>
      </c>
      <c r="K16" s="19">
        <f t="shared" si="2"/>
        <v>903391.24050000007</v>
      </c>
      <c r="L16" s="19">
        <f t="shared" si="2"/>
        <v>920594.34716666653</v>
      </c>
      <c r="M16" s="19">
        <f t="shared" si="2"/>
        <v>628270.05383333331</v>
      </c>
      <c r="N16" s="19">
        <f t="shared" si="2"/>
        <v>955000.42050000001</v>
      </c>
      <c r="O16" s="19">
        <f t="shared" si="2"/>
        <v>972203.38716666668</v>
      </c>
    </row>
    <row r="19" spans="2:15" ht="15" customHeight="1">
      <c r="B19" s="10" t="s">
        <v>18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2:15" ht="15" customHeight="1">
      <c r="B20" s="12"/>
      <c r="C20" s="12"/>
      <c r="D20" s="13">
        <v>46023</v>
      </c>
      <c r="E20" s="13">
        <v>46054</v>
      </c>
      <c r="F20" s="13">
        <v>46082</v>
      </c>
      <c r="G20" s="13">
        <v>46113</v>
      </c>
      <c r="H20" s="13">
        <v>46143</v>
      </c>
      <c r="I20" s="13">
        <v>46174</v>
      </c>
      <c r="J20" s="13">
        <v>46204</v>
      </c>
      <c r="K20" s="13">
        <v>46235</v>
      </c>
      <c r="L20" s="13">
        <v>46266</v>
      </c>
      <c r="M20" s="13">
        <v>46296</v>
      </c>
      <c r="N20" s="13">
        <v>46327</v>
      </c>
      <c r="O20" s="13">
        <v>46357</v>
      </c>
    </row>
    <row r="21" spans="2:15" ht="15" customHeight="1">
      <c r="B21" s="4" t="s">
        <v>19</v>
      </c>
      <c r="D21" s="14">
        <f t="shared" ref="D21:O21" si="3">D44</f>
        <v>569714.15710524132</v>
      </c>
      <c r="E21" s="14">
        <f t="shared" si="3"/>
        <v>994761.82879451755</v>
      </c>
      <c r="F21" s="14">
        <f t="shared" si="3"/>
        <v>1543849.7158317221</v>
      </c>
      <c r="G21" s="14">
        <f t="shared" si="3"/>
        <v>2229693.6479347302</v>
      </c>
      <c r="H21" s="14">
        <f t="shared" si="3"/>
        <v>3046342.8967373138</v>
      </c>
      <c r="I21" s="14">
        <f t="shared" si="3"/>
        <v>3880396.4480841369</v>
      </c>
      <c r="J21" s="14">
        <f t="shared" si="3"/>
        <v>4731853.5619921619</v>
      </c>
      <c r="K21" s="14">
        <f t="shared" si="3"/>
        <v>5600713.2126117954</v>
      </c>
      <c r="L21" s="14">
        <f t="shared" si="3"/>
        <v>6486974.6481877817</v>
      </c>
      <c r="M21" s="14">
        <f t="shared" si="3"/>
        <v>7081109.5710198302</v>
      </c>
      <c r="N21" s="14">
        <f t="shared" si="3"/>
        <v>8002171.7374229813</v>
      </c>
      <c r="O21" s="14">
        <f t="shared" si="3"/>
        <v>8940632.8376877084</v>
      </c>
    </row>
    <row r="22" spans="2:15" ht="15" customHeight="1">
      <c r="B22" s="4" t="s">
        <v>20</v>
      </c>
      <c r="D22" s="14">
        <f>CAPEX!A24</f>
        <v>196666.66666666666</v>
      </c>
      <c r="E22" s="14">
        <f>CAPEX!B24</f>
        <v>213000</v>
      </c>
      <c r="F22" s="14">
        <f>CAPEX!C24</f>
        <v>229000</v>
      </c>
      <c r="G22" s="14">
        <f>CAPEX!D24</f>
        <v>244666.66666666666</v>
      </c>
      <c r="H22" s="14">
        <f>CAPEX!E24</f>
        <v>259999.99999999997</v>
      </c>
      <c r="I22" s="14">
        <f>CAPEX!F24</f>
        <v>275000</v>
      </c>
      <c r="J22" s="14">
        <f>CAPEX!G24</f>
        <v>289666.66666666669</v>
      </c>
      <c r="K22" s="14">
        <f>CAPEX!H24</f>
        <v>304000</v>
      </c>
      <c r="L22" s="14">
        <f>CAPEX!I24</f>
        <v>318000</v>
      </c>
      <c r="M22" s="14">
        <f>CAPEX!J24</f>
        <v>331666.66666666669</v>
      </c>
      <c r="N22" s="14">
        <f>CAPEX!K24</f>
        <v>345000</v>
      </c>
      <c r="O22" s="14">
        <f>CAPEX!L24</f>
        <v>358000</v>
      </c>
    </row>
    <row r="23" spans="2:15" ht="15" customHeight="1">
      <c r="B23" s="16"/>
      <c r="C23" s="16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spans="2:15" ht="15" customHeight="1">
      <c r="B24" s="20" t="s">
        <v>21</v>
      </c>
      <c r="C24" s="20"/>
      <c r="D24" s="21">
        <f>D21+D22</f>
        <v>766380.82377190795</v>
      </c>
      <c r="E24" s="21">
        <f t="shared" ref="E24:O24" si="4">E21+E22</f>
        <v>1207761.8287945176</v>
      </c>
      <c r="F24" s="21">
        <f t="shared" si="4"/>
        <v>1772849.7158317221</v>
      </c>
      <c r="G24" s="21">
        <f t="shared" si="4"/>
        <v>2474360.3146013967</v>
      </c>
      <c r="H24" s="21">
        <f t="shared" si="4"/>
        <v>3306342.8967373138</v>
      </c>
      <c r="I24" s="21">
        <f t="shared" si="4"/>
        <v>4155396.4480841369</v>
      </c>
      <c r="J24" s="21">
        <f t="shared" si="4"/>
        <v>5021520.2286588289</v>
      </c>
      <c r="K24" s="21">
        <f t="shared" si="4"/>
        <v>5904713.2126117954</v>
      </c>
      <c r="L24" s="21">
        <f t="shared" si="4"/>
        <v>6804974.6481877817</v>
      </c>
      <c r="M24" s="21">
        <f t="shared" si="4"/>
        <v>7412776.2376864972</v>
      </c>
      <c r="N24" s="21">
        <f t="shared" si="4"/>
        <v>8347171.7374229813</v>
      </c>
      <c r="O24" s="21">
        <f t="shared" si="4"/>
        <v>9298632.8376877084</v>
      </c>
    </row>
    <row r="26" spans="2:15" ht="15" customHeight="1">
      <c r="B26" s="4" t="s">
        <v>22</v>
      </c>
      <c r="D26" s="14">
        <f>'Financing and Funding Analysis'!C4</f>
        <v>480719.68760524126</v>
      </c>
      <c r="E26" s="14">
        <f>'Financing and Funding Analysis'!C5</f>
        <v>461310.83979451744</v>
      </c>
      <c r="F26" s="14">
        <f>'Financing and Funding Analysis'!C6</f>
        <v>441772.59966505546</v>
      </c>
      <c r="G26" s="14">
        <f>'Financing and Funding Analysis'!C7</f>
        <v>422104.10460139706</v>
      </c>
      <c r="H26" s="14">
        <f>'Financing and Funding Analysis'!C8</f>
        <v>402304.4862373143</v>
      </c>
      <c r="I26" s="14">
        <f>'Financing and Funding Analysis'!C9</f>
        <v>382372.87041747099</v>
      </c>
      <c r="J26" s="14">
        <f>'Financing and Funding Analysis'!C10</f>
        <v>362308.37715882872</v>
      </c>
      <c r="K26" s="14">
        <f>'Financing and Funding Analysis'!C11</f>
        <v>342110.12061179552</v>
      </c>
      <c r="L26" s="14">
        <f>'Financing and Funding Analysis'!C12</f>
        <v>321777.20902111538</v>
      </c>
      <c r="M26" s="14">
        <f>'Financing and Funding Analysis'!C13</f>
        <v>301308.74468649743</v>
      </c>
      <c r="N26" s="14">
        <f>'Financing and Funding Analysis'!C14</f>
        <v>280703.82392298203</v>
      </c>
      <c r="O26" s="14">
        <f>'Financing and Funding Analysis'!C14-'Financing and Funding Analysis'!E14</f>
        <v>259961.53702104316</v>
      </c>
    </row>
    <row r="27" spans="2:15" ht="15" customHeight="1">
      <c r="B27" s="22" t="s">
        <v>23</v>
      </c>
      <c r="C27" s="23"/>
      <c r="D27" s="24">
        <f t="shared" ref="D27:O27" si="5">SUM(D26:D26)</f>
        <v>480719.68760524126</v>
      </c>
      <c r="E27" s="24">
        <f t="shared" si="5"/>
        <v>461310.83979451744</v>
      </c>
      <c r="F27" s="24">
        <f t="shared" si="5"/>
        <v>441772.59966505546</v>
      </c>
      <c r="G27" s="24">
        <f t="shared" si="5"/>
        <v>422104.10460139706</v>
      </c>
      <c r="H27" s="24">
        <f t="shared" si="5"/>
        <v>402304.4862373143</v>
      </c>
      <c r="I27" s="24">
        <f t="shared" si="5"/>
        <v>382372.87041747099</v>
      </c>
      <c r="J27" s="24">
        <f t="shared" si="5"/>
        <v>362308.37715882872</v>
      </c>
      <c r="K27" s="24">
        <f t="shared" si="5"/>
        <v>342110.12061179552</v>
      </c>
      <c r="L27" s="24">
        <f t="shared" si="5"/>
        <v>321777.20902111538</v>
      </c>
      <c r="M27" s="24">
        <f t="shared" si="5"/>
        <v>301308.74468649743</v>
      </c>
      <c r="N27" s="24">
        <f t="shared" si="5"/>
        <v>280703.82392298203</v>
      </c>
      <c r="O27" s="24">
        <f t="shared" si="5"/>
        <v>259961.53702104316</v>
      </c>
    </row>
    <row r="29" spans="2:15" ht="15" customHeight="1">
      <c r="B29" s="4" t="s">
        <v>24</v>
      </c>
      <c r="D29" s="14">
        <f>Financing!B3</f>
        <v>200000</v>
      </c>
      <c r="E29" s="14">
        <f>D29</f>
        <v>200000</v>
      </c>
      <c r="F29" s="14">
        <f t="shared" ref="F29:O29" si="6">E29</f>
        <v>200000</v>
      </c>
      <c r="G29" s="14">
        <f t="shared" si="6"/>
        <v>200000</v>
      </c>
      <c r="H29" s="14">
        <f t="shared" si="6"/>
        <v>200000</v>
      </c>
      <c r="I29" s="14">
        <f t="shared" si="6"/>
        <v>200000</v>
      </c>
      <c r="J29" s="14">
        <f t="shared" si="6"/>
        <v>200000</v>
      </c>
      <c r="K29" s="14">
        <f t="shared" si="6"/>
        <v>200000</v>
      </c>
      <c r="L29" s="14">
        <f t="shared" si="6"/>
        <v>200000</v>
      </c>
      <c r="M29" s="14">
        <f t="shared" si="6"/>
        <v>200000</v>
      </c>
      <c r="N29" s="14">
        <f t="shared" si="6"/>
        <v>200000</v>
      </c>
      <c r="O29" s="14">
        <f t="shared" si="6"/>
        <v>200000</v>
      </c>
    </row>
    <row r="30" spans="2:15" ht="15" customHeight="1">
      <c r="B30" s="4" t="s">
        <v>25</v>
      </c>
      <c r="D30" s="14">
        <f>D16</f>
        <v>85661.136166666678</v>
      </c>
      <c r="E30" s="14">
        <f>D30+E16</f>
        <v>546450.98900000006</v>
      </c>
      <c r="F30" s="14">
        <f t="shared" ref="F30:O30" si="7">E30+F16</f>
        <v>1131077.1161666666</v>
      </c>
      <c r="G30" s="14">
        <f t="shared" si="7"/>
        <v>1852256.2099999997</v>
      </c>
      <c r="H30" s="14">
        <f t="shared" si="7"/>
        <v>2704038.4104999998</v>
      </c>
      <c r="I30" s="14">
        <f t="shared" si="7"/>
        <v>3573023.5776666664</v>
      </c>
      <c r="J30" s="14">
        <f t="shared" si="7"/>
        <v>4459211.8514999999</v>
      </c>
      <c r="K30" s="14">
        <f t="shared" si="7"/>
        <v>5362603.0920000002</v>
      </c>
      <c r="L30" s="14">
        <f t="shared" si="7"/>
        <v>6283197.4391666669</v>
      </c>
      <c r="M30" s="14">
        <f t="shared" si="7"/>
        <v>6911467.4930000007</v>
      </c>
      <c r="N30" s="14">
        <f>M30+N16</f>
        <v>7866467.9135000007</v>
      </c>
      <c r="O30" s="14">
        <f t="shared" si="7"/>
        <v>8838671.3006666675</v>
      </c>
    </row>
    <row r="31" spans="2:15" ht="15" customHeight="1">
      <c r="B31" s="25" t="s">
        <v>26</v>
      </c>
      <c r="C31" s="25"/>
      <c r="D31" s="26">
        <f t="shared" ref="D31:O31" si="8">SUM(D29:D30)</f>
        <v>285661.13616666669</v>
      </c>
      <c r="E31" s="26">
        <f t="shared" si="8"/>
        <v>746450.98900000006</v>
      </c>
      <c r="F31" s="26">
        <f t="shared" si="8"/>
        <v>1331077.1161666666</v>
      </c>
      <c r="G31" s="26">
        <f t="shared" si="8"/>
        <v>2052256.2099999997</v>
      </c>
      <c r="H31" s="26">
        <f t="shared" si="8"/>
        <v>2904038.4104999998</v>
      </c>
      <c r="I31" s="26">
        <f t="shared" si="8"/>
        <v>3773023.5776666664</v>
      </c>
      <c r="J31" s="26">
        <f t="shared" si="8"/>
        <v>4659211.8514999999</v>
      </c>
      <c r="K31" s="26">
        <f t="shared" si="8"/>
        <v>5562603.0920000002</v>
      </c>
      <c r="L31" s="26">
        <f t="shared" si="8"/>
        <v>6483197.4391666669</v>
      </c>
      <c r="M31" s="26">
        <f t="shared" si="8"/>
        <v>7111467.4930000007</v>
      </c>
      <c r="N31" s="26">
        <f t="shared" si="8"/>
        <v>8066467.9135000007</v>
      </c>
      <c r="O31" s="26">
        <f t="shared" si="8"/>
        <v>9038671.3006666675</v>
      </c>
    </row>
    <row r="33" spans="2:15" ht="15" customHeight="1">
      <c r="B33" s="20" t="s">
        <v>27</v>
      </c>
      <c r="C33" s="20"/>
      <c r="D33" s="21">
        <f t="shared" ref="D33:O33" si="9">D27+D31</f>
        <v>766380.82377190795</v>
      </c>
      <c r="E33" s="21">
        <f t="shared" si="9"/>
        <v>1207761.8287945176</v>
      </c>
      <c r="F33" s="21">
        <f t="shared" si="9"/>
        <v>1772849.7158317221</v>
      </c>
      <c r="G33" s="21">
        <f t="shared" si="9"/>
        <v>2474360.3146013967</v>
      </c>
      <c r="H33" s="21">
        <f t="shared" si="9"/>
        <v>3306342.8967373138</v>
      </c>
      <c r="I33" s="21">
        <f t="shared" si="9"/>
        <v>4155396.4480841374</v>
      </c>
      <c r="J33" s="21">
        <f t="shared" si="9"/>
        <v>5021520.2286588289</v>
      </c>
      <c r="K33" s="21">
        <f t="shared" si="9"/>
        <v>5904713.2126117954</v>
      </c>
      <c r="L33" s="21">
        <f t="shared" si="9"/>
        <v>6804974.6481877826</v>
      </c>
      <c r="M33" s="21">
        <f t="shared" si="9"/>
        <v>7412776.2376864981</v>
      </c>
      <c r="N33" s="21">
        <f t="shared" si="9"/>
        <v>8347171.7374229832</v>
      </c>
      <c r="O33" s="21">
        <f t="shared" si="9"/>
        <v>9298632.8376877103</v>
      </c>
    </row>
    <row r="34" spans="2:15" ht="15" customHeight="1">
      <c r="D34" s="14">
        <f>D24-(D27+D31)</f>
        <v>0</v>
      </c>
      <c r="E34" s="14">
        <f t="shared" ref="E34:O34" si="10">E24-E33</f>
        <v>0</v>
      </c>
      <c r="F34" s="14">
        <f t="shared" si="10"/>
        <v>0</v>
      </c>
      <c r="G34" s="14">
        <f t="shared" si="10"/>
        <v>0</v>
      </c>
      <c r="H34" s="14">
        <f t="shared" si="10"/>
        <v>0</v>
      </c>
      <c r="I34" s="14">
        <f t="shared" si="10"/>
        <v>0</v>
      </c>
      <c r="J34" s="14">
        <f t="shared" si="10"/>
        <v>0</v>
      </c>
      <c r="K34" s="14">
        <f t="shared" si="10"/>
        <v>0</v>
      </c>
      <c r="L34" s="14">
        <f t="shared" si="10"/>
        <v>0</v>
      </c>
      <c r="M34" s="14">
        <f t="shared" si="10"/>
        <v>0</v>
      </c>
      <c r="N34" s="14">
        <f t="shared" si="10"/>
        <v>0</v>
      </c>
      <c r="O34" s="14">
        <f t="shared" si="10"/>
        <v>0</v>
      </c>
    </row>
    <row r="36" spans="2:15" ht="15" customHeight="1">
      <c r="B36" s="10" t="s">
        <v>28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2:15" ht="15" customHeight="1">
      <c r="B37" s="12"/>
      <c r="C37" s="12"/>
      <c r="D37" s="13">
        <v>46023</v>
      </c>
      <c r="E37" s="13">
        <v>46054</v>
      </c>
      <c r="F37" s="13">
        <v>46082</v>
      </c>
      <c r="G37" s="13">
        <v>46113</v>
      </c>
      <c r="H37" s="13">
        <v>46143</v>
      </c>
      <c r="I37" s="13">
        <v>46174</v>
      </c>
      <c r="J37" s="13">
        <v>46204</v>
      </c>
      <c r="K37" s="13">
        <v>46235</v>
      </c>
      <c r="L37" s="13">
        <v>46266</v>
      </c>
      <c r="M37" s="13">
        <v>46296</v>
      </c>
      <c r="N37" s="13">
        <v>46327</v>
      </c>
      <c r="O37" s="13">
        <v>46357</v>
      </c>
    </row>
    <row r="38" spans="2:15" ht="15" customHeight="1">
      <c r="B38" s="4" t="s">
        <v>29</v>
      </c>
      <c r="D38" s="14">
        <f>D16+D12</f>
        <v>88994.469500000007</v>
      </c>
      <c r="E38" s="14">
        <f t="shared" ref="E38:O38" si="11">E16+E12</f>
        <v>464456.51950000005</v>
      </c>
      <c r="F38" s="14">
        <f t="shared" si="11"/>
        <v>588626.12716666656</v>
      </c>
      <c r="G38" s="14">
        <f t="shared" si="11"/>
        <v>725512.42716666649</v>
      </c>
      <c r="H38" s="14">
        <f t="shared" si="11"/>
        <v>856448.86716666655</v>
      </c>
      <c r="I38" s="14">
        <f t="shared" si="11"/>
        <v>873985.16716666659</v>
      </c>
      <c r="J38" s="14">
        <f t="shared" si="11"/>
        <v>891521.60716666689</v>
      </c>
      <c r="K38" s="14">
        <f t="shared" si="11"/>
        <v>909057.9071666667</v>
      </c>
      <c r="L38" s="14">
        <f t="shared" si="11"/>
        <v>926594.34716666653</v>
      </c>
      <c r="M38" s="14">
        <f t="shared" si="11"/>
        <v>634603.38716666668</v>
      </c>
      <c r="N38" s="14">
        <f t="shared" si="11"/>
        <v>961667.08716666664</v>
      </c>
      <c r="O38" s="14">
        <f t="shared" si="11"/>
        <v>979203.38716666668</v>
      </c>
    </row>
    <row r="39" spans="2:15" ht="15" customHeight="1">
      <c r="B39" s="4" t="s">
        <v>30</v>
      </c>
      <c r="D39" s="14">
        <f>-'Financial Forecast'!E2</f>
        <v>-200000</v>
      </c>
      <c r="E39" s="14">
        <f>-'Financial Forecast'!E3</f>
        <v>-20000</v>
      </c>
      <c r="F39" s="14">
        <f>-'Financial Forecast'!E4</f>
        <v>-20000</v>
      </c>
      <c r="G39" s="14">
        <f>-'Financial Forecast'!E6</f>
        <v>-20000</v>
      </c>
      <c r="H39" s="14">
        <f>-'Financial Forecast'!E6</f>
        <v>-20000</v>
      </c>
      <c r="I39" s="14">
        <f>-'Financial Forecast'!E7</f>
        <v>-20000</v>
      </c>
      <c r="J39" s="14">
        <f>-'Financial Forecast'!E8</f>
        <v>-20000</v>
      </c>
      <c r="K39" s="14">
        <f>-'Financial Forecast'!E9</f>
        <v>-20000</v>
      </c>
      <c r="L39" s="14">
        <f>-'Financial Forecast'!E10</f>
        <v>-20000</v>
      </c>
      <c r="M39" s="14">
        <f>-'Financial Forecast'!E11</f>
        <v>-20000</v>
      </c>
      <c r="N39" s="14">
        <f>-'Financial Forecast'!E12</f>
        <v>-20000</v>
      </c>
      <c r="O39" s="14">
        <f>-'Financial Forecast'!E13</f>
        <v>-20000</v>
      </c>
    </row>
    <row r="40" spans="2:15" ht="15" customHeight="1">
      <c r="B40" s="4" t="s">
        <v>31</v>
      </c>
      <c r="D40" s="14">
        <f>'Financing and Funding Analysis'!F3+'Financing and Funding Analysis'!C3-'Financing and Funding Analysis'!E3</f>
        <v>680719.68760524131</v>
      </c>
      <c r="E40" s="14">
        <f>0+0-'Financing and Funding Analysis'!E4</f>
        <v>-19408.847810723801</v>
      </c>
      <c r="F40" s="14">
        <f>0+0-'Financing and Funding Analysis'!E5</f>
        <v>-19538.240129461959</v>
      </c>
      <c r="G40" s="14">
        <f>0+0-'Financing and Funding Analysis'!E6</f>
        <v>-19668.495063658374</v>
      </c>
      <c r="H40" s="14">
        <f>0+0-'Financing and Funding Analysis'!E7</f>
        <v>-19799.618364082762</v>
      </c>
      <c r="I40" s="14">
        <f>0+0-'Financing and Funding Analysis'!E8</f>
        <v>-19931.615819843315</v>
      </c>
      <c r="J40" s="14">
        <f>0+0-'Financing and Funding Analysis'!E9</f>
        <v>-20064.493258642269</v>
      </c>
      <c r="K40" s="14">
        <f>0+0-'Financing and Funding Analysis'!E10</f>
        <v>-20198.256547033219</v>
      </c>
      <c r="L40" s="14">
        <f>0+0-'Financing and Funding Analysis'!E11</f>
        <v>-20332.911590680105</v>
      </c>
      <c r="M40" s="14">
        <f>0+0-'Financing and Funding Analysis'!E12</f>
        <v>-20468.464334617973</v>
      </c>
      <c r="N40" s="14">
        <f>0+0-'Financing and Funding Analysis'!E13</f>
        <v>-20604.920763515427</v>
      </c>
      <c r="O40" s="14">
        <f>0+0-'Financing and Funding Analysis'!E14</f>
        <v>-20742.286901938864</v>
      </c>
    </row>
    <row r="41" spans="2:15" ht="15" customHeight="1">
      <c r="B41" s="4" t="s">
        <v>32</v>
      </c>
      <c r="D41" s="14">
        <v>0</v>
      </c>
      <c r="E41" s="14">
        <f t="shared" ref="E41:O41" si="12">D44</f>
        <v>569714.15710524132</v>
      </c>
      <c r="F41" s="14">
        <f t="shared" si="12"/>
        <v>994761.82879451755</v>
      </c>
      <c r="G41" s="14">
        <f t="shared" si="12"/>
        <v>1543849.7158317221</v>
      </c>
      <c r="H41" s="14">
        <f t="shared" si="12"/>
        <v>2229693.6479347302</v>
      </c>
      <c r="I41" s="14">
        <f t="shared" si="12"/>
        <v>3046342.8967373138</v>
      </c>
      <c r="J41" s="14">
        <f t="shared" si="12"/>
        <v>3880396.4480841369</v>
      </c>
      <c r="K41" s="14">
        <f t="shared" si="12"/>
        <v>4731853.5619921619</v>
      </c>
      <c r="L41" s="14">
        <f t="shared" si="12"/>
        <v>5600713.2126117954</v>
      </c>
      <c r="M41" s="14">
        <f t="shared" si="12"/>
        <v>6486974.6481877817</v>
      </c>
      <c r="N41" s="14">
        <f t="shared" si="12"/>
        <v>7081109.5710198302</v>
      </c>
      <c r="O41" s="14">
        <f t="shared" si="12"/>
        <v>8002171.7374229813</v>
      </c>
    </row>
    <row r="42" spans="2:15" ht="15" customHeight="1">
      <c r="B42" s="4" t="s">
        <v>33</v>
      </c>
      <c r="D42" s="14">
        <f>D38+D39+D40</f>
        <v>569714.15710524132</v>
      </c>
      <c r="E42" s="14">
        <f t="shared" ref="E42:O42" si="13">E38+E39+E40</f>
        <v>425047.67168927623</v>
      </c>
      <c r="F42" s="14">
        <f t="shared" si="13"/>
        <v>549087.88703720458</v>
      </c>
      <c r="G42" s="14">
        <f t="shared" si="13"/>
        <v>685843.93210300815</v>
      </c>
      <c r="H42" s="14">
        <f t="shared" si="13"/>
        <v>816649.24880258378</v>
      </c>
      <c r="I42" s="14">
        <f t="shared" si="13"/>
        <v>834053.55134682322</v>
      </c>
      <c r="J42" s="14">
        <f t="shared" si="13"/>
        <v>851457.11390802462</v>
      </c>
      <c r="K42" s="14">
        <f t="shared" si="13"/>
        <v>868859.6506196335</v>
      </c>
      <c r="L42" s="14">
        <f t="shared" si="13"/>
        <v>886261.4355759864</v>
      </c>
      <c r="M42" s="14">
        <f>M38+M39+M40</f>
        <v>594134.92283204873</v>
      </c>
      <c r="N42" s="14">
        <f t="shared" si="13"/>
        <v>921062.16640315123</v>
      </c>
      <c r="O42" s="14">
        <f t="shared" si="13"/>
        <v>938461.10026472784</v>
      </c>
    </row>
    <row r="43" spans="2:15" ht="15" customHeight="1"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2:15" ht="15" customHeight="1">
      <c r="B44" s="20" t="s">
        <v>34</v>
      </c>
      <c r="C44" s="20"/>
      <c r="D44" s="21">
        <f>D41+D42</f>
        <v>569714.15710524132</v>
      </c>
      <c r="E44" s="21">
        <f>E41+E42</f>
        <v>994761.82879451755</v>
      </c>
      <c r="F44" s="21">
        <f t="shared" ref="F44:O44" si="14">F41+F42</f>
        <v>1543849.7158317221</v>
      </c>
      <c r="G44" s="21">
        <f t="shared" si="14"/>
        <v>2229693.6479347302</v>
      </c>
      <c r="H44" s="21">
        <f t="shared" si="14"/>
        <v>3046342.8967373138</v>
      </c>
      <c r="I44" s="21">
        <f t="shared" si="14"/>
        <v>3880396.4480841369</v>
      </c>
      <c r="J44" s="21">
        <f t="shared" si="14"/>
        <v>4731853.5619921619</v>
      </c>
      <c r="K44" s="21">
        <f t="shared" si="14"/>
        <v>5600713.2126117954</v>
      </c>
      <c r="L44" s="21">
        <f t="shared" si="14"/>
        <v>6486974.6481877817</v>
      </c>
      <c r="M44" s="21">
        <f t="shared" si="14"/>
        <v>7081109.5710198302</v>
      </c>
      <c r="N44" s="21">
        <f t="shared" si="14"/>
        <v>8002171.7374229813</v>
      </c>
      <c r="O44" s="21">
        <f t="shared" si="14"/>
        <v>8940632.8376877084</v>
      </c>
    </row>
    <row r="47" spans="2:15" ht="15" customHeight="1">
      <c r="F47" s="27"/>
      <c r="G47" s="28"/>
    </row>
    <row r="48" spans="2:15" ht="15" customHeight="1">
      <c r="F48" s="29"/>
      <c r="G48" s="29"/>
      <c r="J48" s="14"/>
    </row>
    <row r="49" spans="2:7" ht="15" customHeight="1">
      <c r="B49" s="8"/>
      <c r="D49" s="29"/>
      <c r="E49" s="29"/>
      <c r="F49" s="29"/>
      <c r="G49" s="29"/>
    </row>
    <row r="50" spans="2:7" ht="15" customHeight="1">
      <c r="B50" s="8"/>
      <c r="D50" s="29"/>
      <c r="E50" s="29"/>
      <c r="F50" s="29"/>
      <c r="G50" s="29"/>
    </row>
    <row r="51" spans="2:7" ht="15" customHeight="1">
      <c r="B51" s="8"/>
      <c r="D51" s="29"/>
      <c r="E51" s="29"/>
      <c r="F51" s="29"/>
      <c r="G51" s="29"/>
    </row>
    <row r="52" spans="2:7" ht="15" customHeight="1">
      <c r="B52" s="8"/>
      <c r="D52" s="29"/>
      <c r="E52" s="29"/>
      <c r="F52" s="29"/>
      <c r="G52" s="29"/>
    </row>
    <row r="55" spans="2:7" ht="15" customHeight="1">
      <c r="D55" s="14"/>
    </row>
    <row r="56" spans="2:7" ht="15" customHeight="1">
      <c r="D56" s="14"/>
    </row>
  </sheetData>
  <mergeCells count="1">
    <mergeCell ref="B2:G2"/>
  </mergeCells>
  <dataValidations count="1">
    <dataValidation type="list" allowBlank="1" showErrorMessage="1" sqref="B57" xr:uid="{D74D804B-E00E-E54A-80E8-09554DC73D56}">
      <formula1>$C$4:$C$52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90E27F-EC61-4774-B7E5-9586AAFD0A45}">
          <x14:formula1>
            <xm:f>Assumptions!$A$3:$A$5</xm:f>
          </x14:formula1>
          <xm:sqref>P2 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A19F7-700F-44DE-9867-61CB4966C24E}">
  <dimension ref="A2:K14"/>
  <sheetViews>
    <sheetView workbookViewId="0">
      <selection activeCell="H21" sqref="H21"/>
    </sheetView>
  </sheetViews>
  <sheetFormatPr defaultRowHeight="15.6"/>
  <cols>
    <col min="1" max="1" width="10.5" bestFit="1" customWidth="1"/>
    <col min="2" max="2" width="17.69921875" customWidth="1"/>
    <col min="3" max="3" width="12.09765625" bestFit="1" customWidth="1"/>
    <col min="4" max="4" width="10.09765625" bestFit="1" customWidth="1"/>
    <col min="5" max="5" width="11.09765625" bestFit="1" customWidth="1"/>
    <col min="6" max="7" width="12.09765625" bestFit="1" customWidth="1"/>
    <col min="8" max="8" width="11.8984375" bestFit="1" customWidth="1"/>
    <col min="11" max="11" width="12.09765625" bestFit="1" customWidth="1"/>
  </cols>
  <sheetData>
    <row r="2" spans="1:11">
      <c r="A2" t="s">
        <v>35</v>
      </c>
      <c r="B2" t="s">
        <v>82</v>
      </c>
      <c r="C2" t="s">
        <v>22</v>
      </c>
      <c r="D2" t="s">
        <v>14</v>
      </c>
      <c r="E2" t="s">
        <v>56</v>
      </c>
      <c r="F2" t="s">
        <v>83</v>
      </c>
      <c r="G2" t="s">
        <v>84</v>
      </c>
      <c r="H2" t="s">
        <v>85</v>
      </c>
    </row>
    <row r="3" spans="1:11">
      <c r="A3" s="30">
        <v>46023</v>
      </c>
      <c r="B3" s="34">
        <f>'Financial Forecast'!F2-'Financial Forecast'!E2</f>
        <v>-340000</v>
      </c>
      <c r="C3" s="34">
        <f>Financing!B2</f>
        <v>500000</v>
      </c>
      <c r="D3" s="34">
        <f>Financing!C8</f>
        <v>3333.3333333333335</v>
      </c>
      <c r="E3" s="34">
        <f>Financing!C9</f>
        <v>19280.312394758745</v>
      </c>
      <c r="F3" s="34">
        <f>Financing!B3</f>
        <v>200000</v>
      </c>
      <c r="G3" s="34">
        <f>B3+F3-D3-E3</f>
        <v>-162613.64572809209</v>
      </c>
      <c r="H3" t="str">
        <f>IF(G3&lt;0,"Liquidity Risk","No")</f>
        <v>Liquidity Risk</v>
      </c>
    </row>
    <row r="4" spans="1:11">
      <c r="A4" s="30">
        <v>46054</v>
      </c>
      <c r="B4" s="34">
        <f>'Financial Forecast'!F3-'Financial Forecast'!E3</f>
        <v>27273</v>
      </c>
      <c r="C4" s="34">
        <f>C3-E3</f>
        <v>480719.68760524126</v>
      </c>
      <c r="D4" s="34">
        <f>C4*0.08/12</f>
        <v>3204.7979173682747</v>
      </c>
      <c r="E4" s="34">
        <f>Financing!$C$7-'Financing and Funding Analysis'!D4</f>
        <v>19408.847810723801</v>
      </c>
      <c r="F4" s="34">
        <f>0</f>
        <v>0</v>
      </c>
      <c r="G4" s="34">
        <f t="shared" ref="G4:G14" si="0">B4+F4-D4-E4</f>
        <v>4659.3542719079232</v>
      </c>
      <c r="H4" t="str">
        <f t="shared" ref="H4:H14" si="1">IF(G4&lt;0,"Liquidity Risk","No")</f>
        <v>No</v>
      </c>
    </row>
    <row r="5" spans="1:11">
      <c r="A5" s="30">
        <v>46082</v>
      </c>
      <c r="B5" s="34">
        <f>'Financial Forecast'!F4-'Financial Forecast'!E4</f>
        <v>34545</v>
      </c>
      <c r="C5" s="34">
        <f t="shared" ref="C5:C14" si="2">C4-E4</f>
        <v>461310.83979451744</v>
      </c>
      <c r="D5" s="34">
        <f t="shared" ref="D5:D14" si="3">C5*0.08/12</f>
        <v>3075.4055986301159</v>
      </c>
      <c r="E5" s="34">
        <f>Financing!$C$7-'Financing and Funding Analysis'!D5</f>
        <v>19538.240129461959</v>
      </c>
      <c r="F5" s="34">
        <f>0</f>
        <v>0</v>
      </c>
      <c r="G5" s="34">
        <f t="shared" si="0"/>
        <v>11931.354271907923</v>
      </c>
      <c r="H5" t="str">
        <f t="shared" si="1"/>
        <v>No</v>
      </c>
      <c r="K5" s="34"/>
    </row>
    <row r="6" spans="1:11">
      <c r="A6" s="30">
        <v>46113</v>
      </c>
      <c r="B6" s="34">
        <f>'Financial Forecast'!F5-'Financial Forecast'!E5</f>
        <v>41818</v>
      </c>
      <c r="C6" s="34">
        <f t="shared" si="2"/>
        <v>441772.59966505546</v>
      </c>
      <c r="D6" s="34">
        <f t="shared" si="3"/>
        <v>2945.1506644337028</v>
      </c>
      <c r="E6" s="34">
        <f>Financing!$C$7-'Financing and Funding Analysis'!D6</f>
        <v>19668.495063658374</v>
      </c>
      <c r="F6" s="34">
        <f>0</f>
        <v>0</v>
      </c>
      <c r="G6" s="34">
        <f t="shared" si="0"/>
        <v>19204.35427190792</v>
      </c>
      <c r="H6" t="str">
        <f t="shared" si="1"/>
        <v>No</v>
      </c>
    </row>
    <row r="7" spans="1:11">
      <c r="A7" s="30">
        <v>46143</v>
      </c>
      <c r="B7" s="34">
        <f>'Financial Forecast'!F6-'Financial Forecast'!E6</f>
        <v>49091</v>
      </c>
      <c r="C7" s="34">
        <f t="shared" si="2"/>
        <v>422104.10460139706</v>
      </c>
      <c r="D7" s="34">
        <f t="shared" si="3"/>
        <v>2814.0273640093142</v>
      </c>
      <c r="E7" s="34">
        <f>Financing!$C$7-'Financing and Funding Analysis'!D7</f>
        <v>19799.618364082762</v>
      </c>
      <c r="F7" s="34">
        <f>0</f>
        <v>0</v>
      </c>
      <c r="G7" s="34">
        <f t="shared" si="0"/>
        <v>26477.354271907923</v>
      </c>
      <c r="H7" t="str">
        <f t="shared" si="1"/>
        <v>No</v>
      </c>
    </row>
    <row r="8" spans="1:11">
      <c r="A8" s="30">
        <v>46174</v>
      </c>
      <c r="B8" s="34">
        <f>'Financial Forecast'!F7-'Financial Forecast'!E7</f>
        <v>56364</v>
      </c>
      <c r="C8" s="34">
        <f t="shared" si="2"/>
        <v>402304.4862373143</v>
      </c>
      <c r="D8" s="34">
        <f t="shared" si="3"/>
        <v>2682.0299082487622</v>
      </c>
      <c r="E8" s="34">
        <f>Financing!$C$7-'Financing and Funding Analysis'!D8</f>
        <v>19931.615819843315</v>
      </c>
      <c r="F8" s="34">
        <f>0</f>
        <v>0</v>
      </c>
      <c r="G8" s="34">
        <f t="shared" si="0"/>
        <v>33750.354271907927</v>
      </c>
      <c r="H8" t="str">
        <f t="shared" si="1"/>
        <v>No</v>
      </c>
    </row>
    <row r="9" spans="1:11">
      <c r="A9" s="30">
        <v>46204</v>
      </c>
      <c r="B9" s="34">
        <f>'Financial Forecast'!F8-'Financial Forecast'!E8</f>
        <v>63636</v>
      </c>
      <c r="C9" s="34">
        <f t="shared" si="2"/>
        <v>382372.87041747099</v>
      </c>
      <c r="D9" s="34">
        <f t="shared" si="3"/>
        <v>2549.1524694498066</v>
      </c>
      <c r="E9" s="34">
        <f>Financing!$C$7-'Financing and Funding Analysis'!D9</f>
        <v>20064.493258642269</v>
      </c>
      <c r="F9" s="34">
        <f>0</f>
        <v>0</v>
      </c>
      <c r="G9" s="34">
        <f t="shared" si="0"/>
        <v>41022.354271907927</v>
      </c>
      <c r="H9" t="str">
        <f t="shared" si="1"/>
        <v>No</v>
      </c>
    </row>
    <row r="10" spans="1:11">
      <c r="A10" s="30">
        <v>46235</v>
      </c>
      <c r="B10" s="34">
        <f>'Financial Forecast'!F9-'Financial Forecast'!E9</f>
        <v>70909</v>
      </c>
      <c r="C10" s="34">
        <f t="shared" si="2"/>
        <v>362308.37715882872</v>
      </c>
      <c r="D10" s="34">
        <f t="shared" si="3"/>
        <v>2415.389181058858</v>
      </c>
      <c r="E10" s="34">
        <f>Financing!$C$7-'Financing and Funding Analysis'!D10</f>
        <v>20198.256547033219</v>
      </c>
      <c r="F10" s="34">
        <f>0</f>
        <v>0</v>
      </c>
      <c r="G10" s="34">
        <f t="shared" si="0"/>
        <v>48295.354271907927</v>
      </c>
      <c r="H10" t="str">
        <f t="shared" si="1"/>
        <v>No</v>
      </c>
    </row>
    <row r="11" spans="1:11">
      <c r="A11" s="30">
        <v>46266</v>
      </c>
      <c r="B11" s="34">
        <f>'Financial Forecast'!F10-'Financial Forecast'!E10</f>
        <v>78182</v>
      </c>
      <c r="C11" s="34">
        <f t="shared" si="2"/>
        <v>342110.12061179552</v>
      </c>
      <c r="D11" s="34">
        <f t="shared" si="3"/>
        <v>2280.7341374119701</v>
      </c>
      <c r="E11" s="34">
        <f>Financing!$C$7-'Financing and Funding Analysis'!D11</f>
        <v>20332.911590680105</v>
      </c>
      <c r="F11" s="34">
        <f>0</f>
        <v>0</v>
      </c>
      <c r="G11" s="34">
        <f t="shared" si="0"/>
        <v>55568.354271907927</v>
      </c>
      <c r="H11" t="str">
        <f t="shared" si="1"/>
        <v>No</v>
      </c>
    </row>
    <row r="12" spans="1:11">
      <c r="A12" s="30">
        <v>46296</v>
      </c>
      <c r="B12" s="34">
        <f>'Financial Forecast'!F11-'Financial Forecast'!E11</f>
        <v>85455</v>
      </c>
      <c r="C12" s="34">
        <f t="shared" si="2"/>
        <v>321777.20902111538</v>
      </c>
      <c r="D12" s="34">
        <f t="shared" si="3"/>
        <v>2145.1813934741026</v>
      </c>
      <c r="E12" s="34">
        <f>Financing!$C$7-'Financing and Funding Analysis'!D12</f>
        <v>20468.464334617973</v>
      </c>
      <c r="F12" s="34">
        <f>0</f>
        <v>0</v>
      </c>
      <c r="G12" s="34">
        <f t="shared" si="0"/>
        <v>62841.35427190792</v>
      </c>
      <c r="H12" t="str">
        <f t="shared" si="1"/>
        <v>No</v>
      </c>
    </row>
    <row r="13" spans="1:11">
      <c r="A13" s="30">
        <v>46327</v>
      </c>
      <c r="B13" s="34">
        <f>'Financial Forecast'!F12-'Financial Forecast'!E12</f>
        <v>92727</v>
      </c>
      <c r="C13" s="34">
        <f t="shared" si="2"/>
        <v>301308.74468649743</v>
      </c>
      <c r="D13" s="34">
        <f t="shared" si="3"/>
        <v>2008.7249645766497</v>
      </c>
      <c r="E13" s="34">
        <f>Financing!$C$7-'Financing and Funding Analysis'!D13</f>
        <v>20604.920763515427</v>
      </c>
      <c r="F13" s="34">
        <f>0</f>
        <v>0</v>
      </c>
      <c r="G13" s="34">
        <f t="shared" si="0"/>
        <v>70113.354271907912</v>
      </c>
      <c r="H13" t="str">
        <f t="shared" si="1"/>
        <v>No</v>
      </c>
    </row>
    <row r="14" spans="1:11">
      <c r="A14" s="30">
        <v>46357</v>
      </c>
      <c r="B14" s="34">
        <f>'Financial Forecast'!F13-'Financial Forecast'!E13</f>
        <v>100000</v>
      </c>
      <c r="C14" s="34">
        <f t="shared" si="2"/>
        <v>280703.82392298203</v>
      </c>
      <c r="D14" s="34">
        <f t="shared" si="3"/>
        <v>1871.3588261532134</v>
      </c>
      <c r="E14" s="34">
        <f>Financing!$C$7-'Financing and Funding Analysis'!D14</f>
        <v>20742.286901938864</v>
      </c>
      <c r="F14" s="34">
        <f>0</f>
        <v>0</v>
      </c>
      <c r="G14" s="34">
        <f t="shared" si="0"/>
        <v>77386.354271907927</v>
      </c>
      <c r="H14" t="str">
        <f t="shared" si="1"/>
        <v>No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72DED-2943-354B-A666-03F2816C06C6}">
  <dimension ref="A1:T20"/>
  <sheetViews>
    <sheetView workbookViewId="0">
      <selection activeCell="F22" sqref="F22"/>
    </sheetView>
  </sheetViews>
  <sheetFormatPr defaultColWidth="11.19921875" defaultRowHeight="15.6"/>
  <cols>
    <col min="2" max="3" width="13.69921875" bestFit="1" customWidth="1"/>
    <col min="4" max="5" width="12.09765625" bestFit="1" customWidth="1"/>
    <col min="6" max="6" width="18.3984375" bestFit="1" customWidth="1"/>
    <col min="7" max="7" width="13.69921875" bestFit="1" customWidth="1"/>
    <col min="8" max="8" width="12.09765625" bestFit="1" customWidth="1"/>
  </cols>
  <sheetData>
    <row r="1" spans="1:20">
      <c r="A1" t="s">
        <v>35</v>
      </c>
      <c r="B1" t="s">
        <v>1</v>
      </c>
      <c r="C1" t="s">
        <v>36</v>
      </c>
      <c r="D1" t="s">
        <v>37</v>
      </c>
      <c r="E1" t="s">
        <v>3</v>
      </c>
      <c r="F1" t="s">
        <v>38</v>
      </c>
      <c r="G1" t="s">
        <v>52</v>
      </c>
      <c r="H1" t="s">
        <v>53</v>
      </c>
    </row>
    <row r="2" spans="1:20">
      <c r="A2" s="30">
        <v>46023</v>
      </c>
      <c r="B2" s="34">
        <f>(1150000+O9)*(1+'3 Statement Model'!C4)</f>
        <v>1380000</v>
      </c>
      <c r="C2" s="34">
        <f>(1047456+T9)*(1+'3 Statement Model'!D4)</f>
        <v>1112153.615</v>
      </c>
      <c r="D2" s="34">
        <f>110000+S9</f>
        <v>142140</v>
      </c>
      <c r="E2" s="34">
        <f>(200000)*(1+'3 Statement Model'!E4)</f>
        <v>200000</v>
      </c>
      <c r="F2" s="34">
        <v>-140000</v>
      </c>
      <c r="G2" s="34">
        <f>C2+D2</f>
        <v>1254293.615</v>
      </c>
      <c r="H2" s="34">
        <f>B2-G2</f>
        <v>125706.38500000001</v>
      </c>
    </row>
    <row r="3" spans="1:20">
      <c r="A3" s="30">
        <v>46054</v>
      </c>
      <c r="B3" s="34">
        <f>(1474545+O10)*(1+'3 Statement Model'!C4)</f>
        <v>1931454</v>
      </c>
      <c r="C3" s="34">
        <f>(1047456+T10)*(1+'3 Statement Model'!D4)</f>
        <v>1138471.115</v>
      </c>
      <c r="D3" s="34">
        <f>114545+S10</f>
        <v>131045</v>
      </c>
      <c r="E3" s="34">
        <f>(20000)*(1+'3 Statement Model'!E4)</f>
        <v>20000</v>
      </c>
      <c r="F3" s="34">
        <v>47273</v>
      </c>
      <c r="G3" s="34">
        <f t="shared" ref="G3:G13" si="0">C3+D3</f>
        <v>1269516.115</v>
      </c>
      <c r="H3" s="34">
        <f t="shared" ref="H3:H13" si="1">B3-G3</f>
        <v>661937.88500000001</v>
      </c>
    </row>
    <row r="4" spans="1:20">
      <c r="A4" s="30">
        <v>46082</v>
      </c>
      <c r="B4" s="34">
        <f>(1499091+O11)*(1+'3 Statement Model'!C4)</f>
        <v>2122909.1999999997</v>
      </c>
      <c r="C4" s="34">
        <f>(1047456+T11)*(1+'3 Statement Model'!D4)</f>
        <v>1156138.0183333333</v>
      </c>
      <c r="D4" s="34">
        <f>119091+S11</f>
        <v>127591</v>
      </c>
      <c r="E4" s="34">
        <f>(20000)*(1+'3 Statement Model'!E4)</f>
        <v>20000</v>
      </c>
      <c r="F4" s="34">
        <v>54545</v>
      </c>
      <c r="G4" s="34">
        <f t="shared" si="0"/>
        <v>1283729.0183333333</v>
      </c>
      <c r="H4" s="34">
        <f t="shared" si="1"/>
        <v>839180.18166666641</v>
      </c>
    </row>
    <row r="5" spans="1:20">
      <c r="A5" s="30">
        <v>46113</v>
      </c>
      <c r="B5" s="34">
        <f>(1523636+O12)*(1+'3 Statement Model'!C4)</f>
        <v>2314363.1999999997</v>
      </c>
      <c r="C5" s="34">
        <f>(1047456+T12)*(1+'3 Statement Model'!D4)</f>
        <v>1156138.0183333333</v>
      </c>
      <c r="D5" s="34">
        <v>123636</v>
      </c>
      <c r="E5" s="34">
        <f>(20000)*(1+'3 Statement Model'!E4)</f>
        <v>20000</v>
      </c>
      <c r="F5" s="34">
        <v>61818</v>
      </c>
      <c r="G5" s="34">
        <f t="shared" si="0"/>
        <v>1279774.0183333333</v>
      </c>
      <c r="H5" s="34">
        <f t="shared" si="1"/>
        <v>1034589.1816666664</v>
      </c>
    </row>
    <row r="6" spans="1:20">
      <c r="A6" s="30">
        <v>46143</v>
      </c>
      <c r="B6" s="34">
        <f>(1548182+O13)*(1+'3 Statement Model'!C4)</f>
        <v>2505818.4</v>
      </c>
      <c r="C6" s="34">
        <f>(1047456+T13)*(1+'3 Statement Model'!D4)</f>
        <v>1156138.0183333333</v>
      </c>
      <c r="D6" s="34">
        <v>128182</v>
      </c>
      <c r="E6" s="34">
        <f>(20000)*(1+'3 Statement Model'!E4)</f>
        <v>20000</v>
      </c>
      <c r="F6" s="34">
        <v>69091</v>
      </c>
      <c r="G6" s="34">
        <f t="shared" si="0"/>
        <v>1284320.0183333333</v>
      </c>
      <c r="H6" s="34">
        <f t="shared" si="1"/>
        <v>1221498.3816666666</v>
      </c>
    </row>
    <row r="7" spans="1:20">
      <c r="A7" s="30">
        <v>46174</v>
      </c>
      <c r="B7" s="34">
        <f>(1572727+O14)*(1+'3 Statement Model'!C4)</f>
        <v>2535272.4</v>
      </c>
      <c r="C7" s="34">
        <f>(1047456+T14)*(1+'3 Statement Model'!D4)</f>
        <v>1156138.0183333333</v>
      </c>
      <c r="D7" s="34">
        <v>132727</v>
      </c>
      <c r="E7" s="34">
        <f>(20000)*(1+'3 Statement Model'!E4)</f>
        <v>20000</v>
      </c>
      <c r="F7" s="34">
        <v>76364</v>
      </c>
      <c r="G7" s="34">
        <f t="shared" si="0"/>
        <v>1288865.0183333333</v>
      </c>
      <c r="H7" s="34">
        <f t="shared" si="1"/>
        <v>1246407.3816666666</v>
      </c>
      <c r="M7" t="s">
        <v>39</v>
      </c>
      <c r="R7" s="1" t="s">
        <v>37</v>
      </c>
      <c r="T7" s="1" t="s">
        <v>43</v>
      </c>
    </row>
    <row r="8" spans="1:20">
      <c r="A8" s="30">
        <v>46204</v>
      </c>
      <c r="B8" s="34">
        <f>(1597273+O15)*(1+'3 Statement Model'!C4)</f>
        <v>2564727.6</v>
      </c>
      <c r="C8" s="34">
        <f>(1047456+T15)*(1+'3 Statement Model'!D4)</f>
        <v>1156138.0183333333</v>
      </c>
      <c r="D8" s="34">
        <v>137273</v>
      </c>
      <c r="E8" s="34">
        <f>(20000)*(1+'3 Statement Model'!E4)</f>
        <v>20000</v>
      </c>
      <c r="F8" s="34">
        <v>83636</v>
      </c>
      <c r="G8" s="34">
        <f t="shared" si="0"/>
        <v>1293411.0183333333</v>
      </c>
      <c r="H8" s="34">
        <f t="shared" si="1"/>
        <v>1271316.5816666668</v>
      </c>
      <c r="L8" t="s">
        <v>40</v>
      </c>
      <c r="M8" t="s">
        <v>41</v>
      </c>
      <c r="N8" t="s">
        <v>42</v>
      </c>
      <c r="R8" t="s">
        <v>40</v>
      </c>
      <c r="S8" t="s">
        <v>44</v>
      </c>
    </row>
    <row r="9" spans="1:20">
      <c r="A9" s="30">
        <v>46235</v>
      </c>
      <c r="B9" s="34">
        <f>(1621818+O16)*(1+'3 Statement Model'!C4)</f>
        <v>2594181.6</v>
      </c>
      <c r="C9" s="34">
        <f>(1047456+T16)*(1+'3 Statement Model'!D4)</f>
        <v>1156138.0183333333</v>
      </c>
      <c r="D9" s="34">
        <v>141818</v>
      </c>
      <c r="E9" s="34">
        <f>(20000)*(1+'3 Statement Model'!E4)</f>
        <v>20000</v>
      </c>
      <c r="F9" s="34">
        <v>90909</v>
      </c>
      <c r="G9" s="34">
        <f t="shared" si="0"/>
        <v>1297956.0183333333</v>
      </c>
      <c r="H9" s="34">
        <f t="shared" si="1"/>
        <v>1296225.5816666668</v>
      </c>
      <c r="L9" s="31">
        <v>46023</v>
      </c>
      <c r="M9">
        <v>0</v>
      </c>
      <c r="N9">
        <v>90000</v>
      </c>
      <c r="O9">
        <v>0</v>
      </c>
      <c r="R9" s="31">
        <v>46023</v>
      </c>
      <c r="S9">
        <v>32140</v>
      </c>
      <c r="T9">
        <v>64697.614999999998</v>
      </c>
    </row>
    <row r="10" spans="1:20">
      <c r="A10" s="30">
        <v>46266</v>
      </c>
      <c r="B10" s="34">
        <f>(1646364+O17)*(1+'3 Statement Model'!C4)</f>
        <v>2623636.7999999998</v>
      </c>
      <c r="C10" s="34">
        <f>(1047456+T17)*(1+'3 Statement Model'!D4)</f>
        <v>1156138.0183333333</v>
      </c>
      <c r="D10" s="34">
        <v>146364</v>
      </c>
      <c r="E10" s="34">
        <f>(20000)*(1+'3 Statement Model'!E4)</f>
        <v>20000</v>
      </c>
      <c r="F10" s="34">
        <v>98182</v>
      </c>
      <c r="G10" s="34">
        <f t="shared" si="0"/>
        <v>1302502.0183333333</v>
      </c>
      <c r="H10" s="34">
        <f t="shared" si="1"/>
        <v>1321134.7816666665</v>
      </c>
      <c r="L10" s="31">
        <v>46054</v>
      </c>
      <c r="M10">
        <v>1.5</v>
      </c>
      <c r="N10">
        <v>90000</v>
      </c>
      <c r="O10">
        <v>135000</v>
      </c>
      <c r="R10" s="31">
        <v>46054</v>
      </c>
      <c r="S10">
        <v>16500</v>
      </c>
      <c r="T10">
        <v>91015.114999999991</v>
      </c>
    </row>
    <row r="11" spans="1:20">
      <c r="A11" s="30">
        <v>46296</v>
      </c>
      <c r="B11" s="34">
        <f>(1670909+O18)</f>
        <v>2210909</v>
      </c>
      <c r="C11" s="34">
        <f>(1047456+T18)*(1+'3 Statement Model'!D4)</f>
        <v>1156138.0183333333</v>
      </c>
      <c r="D11" s="34">
        <v>150909</v>
      </c>
      <c r="E11" s="34">
        <f>(20000)*(1+'3 Statement Model'!E4)</f>
        <v>20000</v>
      </c>
      <c r="F11" s="34">
        <v>105455</v>
      </c>
      <c r="G11" s="34">
        <f t="shared" si="0"/>
        <v>1307047.0183333333</v>
      </c>
      <c r="H11" s="34">
        <f t="shared" si="1"/>
        <v>903861.98166666669</v>
      </c>
      <c r="L11" s="31">
        <v>46082</v>
      </c>
      <c r="M11">
        <v>3</v>
      </c>
      <c r="N11">
        <v>90000</v>
      </c>
      <c r="O11">
        <v>270000</v>
      </c>
      <c r="R11" s="31">
        <v>46082</v>
      </c>
      <c r="S11">
        <v>8500</v>
      </c>
      <c r="T11">
        <v>108682.01833333333</v>
      </c>
    </row>
    <row r="12" spans="1:20">
      <c r="A12" s="30">
        <v>46327</v>
      </c>
      <c r="B12" s="34">
        <f>(1695455+O19)*(1+'3 Statement Model'!C4)</f>
        <v>2682546</v>
      </c>
      <c r="C12" s="34">
        <f>(1047456+T19)*(1+'3 Statement Model'!D4)</f>
        <v>1156138.0183333333</v>
      </c>
      <c r="D12" s="34">
        <v>155455</v>
      </c>
      <c r="E12" s="34">
        <f>(20000)*(1+'3 Statement Model'!E4)</f>
        <v>20000</v>
      </c>
      <c r="F12" s="34">
        <v>112727</v>
      </c>
      <c r="G12" s="34">
        <f t="shared" si="0"/>
        <v>1311593.0183333333</v>
      </c>
      <c r="H12" s="34">
        <f t="shared" si="1"/>
        <v>1370952.9816666667</v>
      </c>
      <c r="L12" s="31">
        <v>46113</v>
      </c>
      <c r="M12">
        <v>4.5</v>
      </c>
      <c r="N12">
        <v>90000</v>
      </c>
      <c r="O12">
        <v>405000</v>
      </c>
      <c r="R12" s="31">
        <v>46113</v>
      </c>
      <c r="S12">
        <v>0</v>
      </c>
      <c r="T12">
        <v>108682.01833333333</v>
      </c>
    </row>
    <row r="13" spans="1:20">
      <c r="A13" s="30">
        <v>46357</v>
      </c>
      <c r="B13" s="34">
        <f>(1720000+O20)*(1+'3 Statement Model'!C4)</f>
        <v>2712000</v>
      </c>
      <c r="C13" s="34">
        <f>(1047456+T20)*(1+'3 Statement Model'!D4)</f>
        <v>1156138.0183333333</v>
      </c>
      <c r="D13" s="34">
        <v>160000</v>
      </c>
      <c r="E13" s="34">
        <f>(20000)*(1+'3 Statement Model'!E4)</f>
        <v>20000</v>
      </c>
      <c r="F13" s="34">
        <v>120000</v>
      </c>
      <c r="G13" s="34">
        <f t="shared" si="0"/>
        <v>1316138.0183333333</v>
      </c>
      <c r="H13" s="34">
        <f t="shared" si="1"/>
        <v>1395861.9816666667</v>
      </c>
      <c r="L13" s="31">
        <v>46143</v>
      </c>
      <c r="M13">
        <v>6</v>
      </c>
      <c r="N13">
        <v>90000</v>
      </c>
      <c r="O13">
        <v>540000</v>
      </c>
      <c r="R13" s="31">
        <v>46143</v>
      </c>
      <c r="S13">
        <v>0</v>
      </c>
      <c r="T13">
        <v>108682.01833333333</v>
      </c>
    </row>
    <row r="14" spans="1:20">
      <c r="L14" s="31">
        <v>46174</v>
      </c>
      <c r="M14">
        <v>6</v>
      </c>
      <c r="N14">
        <v>90000</v>
      </c>
      <c r="O14">
        <v>540000</v>
      </c>
      <c r="R14" s="31">
        <v>46174</v>
      </c>
      <c r="S14">
        <v>0</v>
      </c>
      <c r="T14">
        <v>108682.01833333333</v>
      </c>
    </row>
    <row r="15" spans="1:20">
      <c r="L15" s="31">
        <v>46204</v>
      </c>
      <c r="M15">
        <v>6</v>
      </c>
      <c r="N15">
        <v>90000</v>
      </c>
      <c r="O15">
        <v>540000</v>
      </c>
      <c r="R15" s="31">
        <v>46204</v>
      </c>
      <c r="S15">
        <v>0</v>
      </c>
      <c r="T15">
        <v>108682.01833333333</v>
      </c>
    </row>
    <row r="16" spans="1:20">
      <c r="L16" s="31">
        <v>46235</v>
      </c>
      <c r="M16">
        <v>6</v>
      </c>
      <c r="N16">
        <v>90000</v>
      </c>
      <c r="O16">
        <v>540000</v>
      </c>
      <c r="R16" s="31">
        <v>46235</v>
      </c>
      <c r="S16">
        <v>0</v>
      </c>
      <c r="T16">
        <v>108682.01833333333</v>
      </c>
    </row>
    <row r="17" spans="12:20">
      <c r="L17" s="31">
        <v>46266</v>
      </c>
      <c r="M17">
        <v>6</v>
      </c>
      <c r="N17">
        <v>90000</v>
      </c>
      <c r="O17">
        <v>540000</v>
      </c>
      <c r="R17" s="31">
        <v>46266</v>
      </c>
      <c r="S17">
        <v>0</v>
      </c>
      <c r="T17">
        <v>108682.01833333333</v>
      </c>
    </row>
    <row r="18" spans="12:20">
      <c r="L18" s="31">
        <v>46296</v>
      </c>
      <c r="M18">
        <v>6</v>
      </c>
      <c r="N18">
        <v>90000</v>
      </c>
      <c r="O18">
        <v>540000</v>
      </c>
      <c r="R18" s="31">
        <v>46296</v>
      </c>
      <c r="S18">
        <v>0</v>
      </c>
      <c r="T18">
        <v>108682.01833333333</v>
      </c>
    </row>
    <row r="19" spans="12:20">
      <c r="L19" s="31">
        <v>46327</v>
      </c>
      <c r="M19">
        <v>6</v>
      </c>
      <c r="N19">
        <v>90000</v>
      </c>
      <c r="O19">
        <v>540000</v>
      </c>
      <c r="R19" s="31">
        <v>46327</v>
      </c>
      <c r="S19">
        <v>0</v>
      </c>
      <c r="T19">
        <v>108682.01833333333</v>
      </c>
    </row>
    <row r="20" spans="12:20">
      <c r="L20" s="31">
        <v>46357</v>
      </c>
      <c r="M20">
        <v>6</v>
      </c>
      <c r="N20">
        <v>90000</v>
      </c>
      <c r="O20">
        <v>540000</v>
      </c>
      <c r="R20" s="31">
        <v>46357</v>
      </c>
      <c r="S20">
        <v>0</v>
      </c>
      <c r="T20">
        <v>108682.01833333333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BE791-B7B7-FA44-9F94-E5A969EB4DBD}">
  <dimension ref="A1:I14"/>
  <sheetViews>
    <sheetView workbookViewId="0">
      <selection activeCell="K20" sqref="K20"/>
    </sheetView>
  </sheetViews>
  <sheetFormatPr defaultColWidth="11.19921875" defaultRowHeight="15.6"/>
  <sheetData>
    <row r="1" spans="1:9">
      <c r="B1" t="s">
        <v>39</v>
      </c>
      <c r="G1" s="1" t="s">
        <v>37</v>
      </c>
      <c r="I1" s="1" t="s">
        <v>43</v>
      </c>
    </row>
    <row r="2" spans="1:9">
      <c r="A2" t="s">
        <v>40</v>
      </c>
      <c r="B2" t="s">
        <v>41</v>
      </c>
      <c r="C2" t="s">
        <v>42</v>
      </c>
      <c r="G2" t="s">
        <v>40</v>
      </c>
      <c r="H2" t="s">
        <v>44</v>
      </c>
    </row>
    <row r="3" spans="1:9">
      <c r="A3" s="31">
        <v>46023</v>
      </c>
      <c r="B3">
        <v>0</v>
      </c>
      <c r="C3">
        <v>90000</v>
      </c>
      <c r="D3">
        <v>0</v>
      </c>
      <c r="G3" s="31">
        <v>46023</v>
      </c>
      <c r="H3">
        <v>32140</v>
      </c>
      <c r="I3">
        <v>64697.614999999998</v>
      </c>
    </row>
    <row r="4" spans="1:9">
      <c r="A4" s="31">
        <v>46054</v>
      </c>
      <c r="B4">
        <v>1.5</v>
      </c>
      <c r="C4">
        <v>90000</v>
      </c>
      <c r="D4">
        <v>135000</v>
      </c>
      <c r="G4" s="31">
        <v>46054</v>
      </c>
      <c r="H4">
        <v>16500</v>
      </c>
      <c r="I4">
        <v>91015.114999999991</v>
      </c>
    </row>
    <row r="5" spans="1:9">
      <c r="A5" s="31">
        <v>46082</v>
      </c>
      <c r="B5">
        <v>3</v>
      </c>
      <c r="C5">
        <v>90000</v>
      </c>
      <c r="D5">
        <v>270000</v>
      </c>
      <c r="G5" s="31">
        <v>46082</v>
      </c>
      <c r="H5">
        <v>8500</v>
      </c>
      <c r="I5">
        <v>108682.01833333333</v>
      </c>
    </row>
    <row r="6" spans="1:9">
      <c r="A6" s="31">
        <v>46113</v>
      </c>
      <c r="B6">
        <v>4.5</v>
      </c>
      <c r="C6">
        <v>90000</v>
      </c>
      <c r="D6">
        <v>405000</v>
      </c>
      <c r="G6" s="31">
        <v>46113</v>
      </c>
      <c r="H6">
        <v>0</v>
      </c>
      <c r="I6">
        <v>108682.01833333333</v>
      </c>
    </row>
    <row r="7" spans="1:9">
      <c r="A7" s="31">
        <v>46143</v>
      </c>
      <c r="B7">
        <v>6</v>
      </c>
      <c r="C7">
        <v>90000</v>
      </c>
      <c r="D7">
        <v>540000</v>
      </c>
      <c r="G7" s="31">
        <v>46143</v>
      </c>
      <c r="H7">
        <v>0</v>
      </c>
      <c r="I7">
        <v>108682.01833333333</v>
      </c>
    </row>
    <row r="8" spans="1:9">
      <c r="A8" s="31">
        <v>46174</v>
      </c>
      <c r="B8">
        <v>6</v>
      </c>
      <c r="C8">
        <v>90000</v>
      </c>
      <c r="D8">
        <v>540000</v>
      </c>
      <c r="G8" s="31">
        <v>46174</v>
      </c>
      <c r="H8">
        <v>0</v>
      </c>
      <c r="I8">
        <v>108682.01833333333</v>
      </c>
    </row>
    <row r="9" spans="1:9">
      <c r="A9" s="31">
        <v>46204</v>
      </c>
      <c r="B9">
        <v>6</v>
      </c>
      <c r="C9">
        <v>90000</v>
      </c>
      <c r="D9">
        <v>540000</v>
      </c>
      <c r="G9" s="31">
        <v>46204</v>
      </c>
      <c r="H9">
        <v>0</v>
      </c>
      <c r="I9">
        <v>108682.01833333333</v>
      </c>
    </row>
    <row r="10" spans="1:9">
      <c r="A10" s="31">
        <v>46235</v>
      </c>
      <c r="B10">
        <v>6</v>
      </c>
      <c r="C10">
        <v>90000</v>
      </c>
      <c r="D10">
        <v>540000</v>
      </c>
      <c r="G10" s="31">
        <v>46235</v>
      </c>
      <c r="H10">
        <v>0</v>
      </c>
      <c r="I10">
        <v>108682.01833333333</v>
      </c>
    </row>
    <row r="11" spans="1:9">
      <c r="A11" s="31">
        <v>46266</v>
      </c>
      <c r="B11">
        <v>6</v>
      </c>
      <c r="C11">
        <v>90000</v>
      </c>
      <c r="D11">
        <v>540000</v>
      </c>
      <c r="G11" s="31">
        <v>46266</v>
      </c>
      <c r="H11">
        <v>0</v>
      </c>
      <c r="I11">
        <v>108682.01833333333</v>
      </c>
    </row>
    <row r="12" spans="1:9">
      <c r="A12" s="31">
        <v>46296</v>
      </c>
      <c r="B12">
        <v>6</v>
      </c>
      <c r="C12">
        <v>90000</v>
      </c>
      <c r="D12">
        <v>540000</v>
      </c>
      <c r="G12" s="31">
        <v>46296</v>
      </c>
      <c r="H12">
        <v>0</v>
      </c>
      <c r="I12">
        <v>108682.01833333333</v>
      </c>
    </row>
    <row r="13" spans="1:9">
      <c r="A13" s="31">
        <v>46327</v>
      </c>
      <c r="B13">
        <v>6</v>
      </c>
      <c r="C13">
        <v>90000</v>
      </c>
      <c r="D13">
        <v>540000</v>
      </c>
      <c r="G13" s="31">
        <v>46327</v>
      </c>
      <c r="H13">
        <v>0</v>
      </c>
      <c r="I13">
        <v>108682.01833333333</v>
      </c>
    </row>
    <row r="14" spans="1:9">
      <c r="A14" s="31">
        <v>46357</v>
      </c>
      <c r="B14">
        <v>6</v>
      </c>
      <c r="C14">
        <v>90000</v>
      </c>
      <c r="D14">
        <v>540000</v>
      </c>
      <c r="G14" s="31">
        <v>46357</v>
      </c>
      <c r="H14">
        <v>0</v>
      </c>
      <c r="I14">
        <v>108682.01833333333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F8003-A11B-1242-8059-63F1C5C409F2}">
  <dimension ref="A1:E9"/>
  <sheetViews>
    <sheetView workbookViewId="0">
      <selection activeCell="C10" sqref="C10"/>
    </sheetView>
  </sheetViews>
  <sheetFormatPr defaultColWidth="11.19921875" defaultRowHeight="15.6"/>
  <sheetData>
    <row r="1" spans="1:5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>
      <c r="A2" t="s">
        <v>50</v>
      </c>
      <c r="B2">
        <v>500000</v>
      </c>
      <c r="C2" s="30">
        <v>46023</v>
      </c>
      <c r="D2">
        <v>0.08</v>
      </c>
      <c r="E2">
        <v>24</v>
      </c>
    </row>
    <row r="3" spans="1:5">
      <c r="A3" t="s">
        <v>51</v>
      </c>
      <c r="B3">
        <v>200000</v>
      </c>
      <c r="C3" s="30">
        <v>46023</v>
      </c>
    </row>
    <row r="6" spans="1:5">
      <c r="B6" t="s">
        <v>54</v>
      </c>
    </row>
    <row r="7" spans="1:5">
      <c r="A7" t="s">
        <v>55</v>
      </c>
      <c r="C7" s="35">
        <f>PMT(D2/12,E2,-B2)</f>
        <v>22613.645728092077</v>
      </c>
    </row>
    <row r="8" spans="1:5">
      <c r="A8" t="s">
        <v>14</v>
      </c>
      <c r="C8">
        <f>B2*D2/12</f>
        <v>3333.3333333333335</v>
      </c>
    </row>
    <row r="9" spans="1:5">
      <c r="A9" t="s">
        <v>56</v>
      </c>
      <c r="C9" s="35">
        <f>C7-C8</f>
        <v>19280.312394758745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68065-3F71-4AF1-B91A-F5D75D6F77D6}">
  <dimension ref="A1:L24"/>
  <sheetViews>
    <sheetView topLeftCell="A7" workbookViewId="0">
      <selection activeCell="L25" sqref="L25"/>
    </sheetView>
  </sheetViews>
  <sheetFormatPr defaultRowHeight="15.6"/>
  <cols>
    <col min="1" max="1" width="19.3984375" bestFit="1" customWidth="1"/>
    <col min="2" max="2" width="12.09765625" bestFit="1" customWidth="1"/>
    <col min="3" max="3" width="13" customWidth="1"/>
    <col min="4" max="12" width="12.09765625" bestFit="1" customWidth="1"/>
  </cols>
  <sheetData>
    <row r="1" spans="1:9">
      <c r="A1" t="s">
        <v>35</v>
      </c>
      <c r="B1" t="s">
        <v>3</v>
      </c>
      <c r="C1" t="s">
        <v>13</v>
      </c>
    </row>
    <row r="2" spans="1:9">
      <c r="A2" s="30">
        <v>46023</v>
      </c>
      <c r="B2" s="34">
        <v>200000</v>
      </c>
      <c r="C2" s="34">
        <f>B2/$I$3</f>
        <v>3333.3333333333335</v>
      </c>
    </row>
    <row r="3" spans="1:9">
      <c r="A3" s="30">
        <v>46054</v>
      </c>
      <c r="B3" s="34">
        <v>20000</v>
      </c>
      <c r="C3" s="34">
        <f t="shared" ref="C3:C13" si="0">B3/$I$3</f>
        <v>333.33333333333331</v>
      </c>
      <c r="I3">
        <v>60</v>
      </c>
    </row>
    <row r="4" spans="1:9">
      <c r="A4" s="30">
        <v>46082</v>
      </c>
      <c r="B4" s="34">
        <v>20000</v>
      </c>
      <c r="C4" s="34">
        <f t="shared" si="0"/>
        <v>333.33333333333331</v>
      </c>
    </row>
    <row r="5" spans="1:9">
      <c r="A5" s="30">
        <v>46113</v>
      </c>
      <c r="B5" s="34">
        <v>20000</v>
      </c>
      <c r="C5" s="34">
        <f t="shared" si="0"/>
        <v>333.33333333333331</v>
      </c>
    </row>
    <row r="6" spans="1:9">
      <c r="A6" s="30">
        <v>46143</v>
      </c>
      <c r="B6" s="34">
        <v>20000</v>
      </c>
      <c r="C6" s="34">
        <f t="shared" si="0"/>
        <v>333.33333333333331</v>
      </c>
    </row>
    <row r="7" spans="1:9">
      <c r="A7" s="30">
        <v>46174</v>
      </c>
      <c r="B7" s="34">
        <v>20000</v>
      </c>
      <c r="C7" s="34">
        <f t="shared" si="0"/>
        <v>333.33333333333331</v>
      </c>
    </row>
    <row r="8" spans="1:9">
      <c r="A8" s="30">
        <v>46204</v>
      </c>
      <c r="B8" s="34">
        <v>20000</v>
      </c>
      <c r="C8" s="34">
        <f t="shared" si="0"/>
        <v>333.33333333333331</v>
      </c>
    </row>
    <row r="9" spans="1:9">
      <c r="A9" s="30">
        <v>46235</v>
      </c>
      <c r="B9" s="34">
        <v>20000</v>
      </c>
      <c r="C9" s="34">
        <f t="shared" si="0"/>
        <v>333.33333333333331</v>
      </c>
    </row>
    <row r="10" spans="1:9">
      <c r="A10" s="30">
        <v>46266</v>
      </c>
      <c r="B10" s="34">
        <v>20000</v>
      </c>
      <c r="C10" s="34">
        <f t="shared" si="0"/>
        <v>333.33333333333331</v>
      </c>
    </row>
    <row r="11" spans="1:9">
      <c r="A11" s="30">
        <v>46296</v>
      </c>
      <c r="B11" s="34">
        <v>20000</v>
      </c>
      <c r="C11" s="34">
        <f t="shared" si="0"/>
        <v>333.33333333333331</v>
      </c>
    </row>
    <row r="12" spans="1:9">
      <c r="A12" s="30">
        <v>46327</v>
      </c>
      <c r="B12" s="34">
        <v>20000</v>
      </c>
      <c r="C12" s="34">
        <f t="shared" si="0"/>
        <v>333.33333333333331</v>
      </c>
    </row>
    <row r="13" spans="1:9">
      <c r="A13" s="30">
        <v>46357</v>
      </c>
      <c r="B13" s="34">
        <v>20000</v>
      </c>
      <c r="C13" s="34">
        <f t="shared" si="0"/>
        <v>333.33333333333331</v>
      </c>
    </row>
    <row r="17" spans="1:12">
      <c r="A17" t="s">
        <v>57</v>
      </c>
    </row>
    <row r="19" spans="1:12" ht="16.8">
      <c r="A19" s="13">
        <v>46023</v>
      </c>
      <c r="B19" s="13">
        <v>46054</v>
      </c>
      <c r="C19" s="13">
        <v>46082</v>
      </c>
      <c r="D19" s="13">
        <v>46113</v>
      </c>
      <c r="E19" s="13">
        <v>46143</v>
      </c>
      <c r="F19" s="13">
        <v>46174</v>
      </c>
      <c r="G19" s="13">
        <v>46204</v>
      </c>
      <c r="H19" s="13">
        <v>46235</v>
      </c>
      <c r="I19" s="13">
        <v>46266</v>
      </c>
      <c r="J19" s="13">
        <v>46296</v>
      </c>
      <c r="K19" s="13">
        <v>46327</v>
      </c>
      <c r="L19" s="13">
        <v>46357</v>
      </c>
    </row>
    <row r="20" spans="1:12">
      <c r="A20" s="34">
        <f>C2</f>
        <v>3333.3333333333335</v>
      </c>
      <c r="B20" s="34">
        <f>A20+C3</f>
        <v>3666.666666666667</v>
      </c>
      <c r="C20" s="34">
        <f>B20+C4</f>
        <v>4000.0000000000005</v>
      </c>
      <c r="D20" s="34">
        <f>C20+C5</f>
        <v>4333.3333333333339</v>
      </c>
      <c r="E20" s="34">
        <f>D20+C6</f>
        <v>4666.666666666667</v>
      </c>
      <c r="F20" s="34">
        <f>E20+C7</f>
        <v>5000</v>
      </c>
      <c r="G20" s="34">
        <f>F20+C8</f>
        <v>5333.333333333333</v>
      </c>
      <c r="H20" s="34">
        <f>G20+C9</f>
        <v>5666.6666666666661</v>
      </c>
      <c r="I20" s="34">
        <f>H20+C10</f>
        <v>5999.9999999999991</v>
      </c>
      <c r="J20" s="34">
        <f>I20+C11</f>
        <v>6333.3333333333321</v>
      </c>
      <c r="K20" s="34">
        <f>J20+C12</f>
        <v>6666.6666666666652</v>
      </c>
      <c r="L20" s="34">
        <f>K20+C13</f>
        <v>6999.9999999999982</v>
      </c>
    </row>
    <row r="23" spans="1:12">
      <c r="A23" t="s">
        <v>58</v>
      </c>
    </row>
    <row r="24" spans="1:12">
      <c r="A24" s="34">
        <f>B2-C2</f>
        <v>196666.66666666666</v>
      </c>
      <c r="B24" s="34">
        <f>A24+B3-B20</f>
        <v>213000</v>
      </c>
      <c r="C24" s="34">
        <f>B24+B4-C20</f>
        <v>229000</v>
      </c>
      <c r="D24" s="34">
        <f>C24+B5-D20</f>
        <v>244666.66666666666</v>
      </c>
      <c r="E24" s="34">
        <f>D24+B6-E20</f>
        <v>259999.99999999997</v>
      </c>
      <c r="F24" s="34">
        <f>E24+B7-F20</f>
        <v>275000</v>
      </c>
      <c r="G24" s="34">
        <f>F24+B8-G20</f>
        <v>289666.66666666669</v>
      </c>
      <c r="H24" s="34">
        <f>G24+B9-H20</f>
        <v>304000</v>
      </c>
      <c r="I24" s="34">
        <f>H24+B10-I20</f>
        <v>318000</v>
      </c>
      <c r="J24" s="34">
        <f>I24+B11-J20</f>
        <v>331666.66666666669</v>
      </c>
      <c r="K24" s="34">
        <f>J24+B12-K20</f>
        <v>345000</v>
      </c>
      <c r="L24" s="34">
        <f>K24+B13-L20</f>
        <v>358000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618B7-C42A-44BA-8567-F29A81394A8F}">
  <dimension ref="B3:O32"/>
  <sheetViews>
    <sheetView topLeftCell="F1" workbookViewId="0">
      <selection activeCell="M21" sqref="M21"/>
    </sheetView>
  </sheetViews>
  <sheetFormatPr defaultRowHeight="15.6"/>
  <cols>
    <col min="2" max="2" width="27.19921875" bestFit="1" customWidth="1"/>
    <col min="3" max="4" width="13.69921875" bestFit="1" customWidth="1"/>
    <col min="5" max="5" width="12.09765625" bestFit="1" customWidth="1"/>
    <col min="6" max="6" width="14.69921875" bestFit="1" customWidth="1"/>
    <col min="7" max="7" width="18.69921875" bestFit="1" customWidth="1"/>
    <col min="8" max="8" width="18.19921875" bestFit="1" customWidth="1"/>
    <col min="9" max="9" width="13.69921875" bestFit="1" customWidth="1"/>
    <col min="12" max="12" width="24.8984375" bestFit="1" customWidth="1"/>
    <col min="13" max="14" width="24.59765625" bestFit="1" customWidth="1"/>
    <col min="15" max="15" width="21.8984375" bestFit="1" customWidth="1"/>
  </cols>
  <sheetData>
    <row r="3" spans="2:15">
      <c r="B3" s="36" t="s">
        <v>59</v>
      </c>
      <c r="L3" s="36" t="s">
        <v>70</v>
      </c>
      <c r="M3" s="36"/>
      <c r="N3" s="36"/>
    </row>
    <row r="4" spans="2:15">
      <c r="B4" t="s">
        <v>35</v>
      </c>
      <c r="C4" t="s">
        <v>1</v>
      </c>
      <c r="D4" t="s">
        <v>36</v>
      </c>
      <c r="E4" t="s">
        <v>37</v>
      </c>
      <c r="F4" t="s">
        <v>60</v>
      </c>
      <c r="G4" t="s">
        <v>61</v>
      </c>
      <c r="H4" t="s">
        <v>62</v>
      </c>
      <c r="L4" t="s">
        <v>35</v>
      </c>
      <c r="M4" t="s">
        <v>67</v>
      </c>
      <c r="N4" t="s">
        <v>68</v>
      </c>
      <c r="O4" t="s">
        <v>69</v>
      </c>
    </row>
    <row r="5" spans="2:15">
      <c r="B5" s="37">
        <v>46023</v>
      </c>
      <c r="C5" s="34">
        <f>'Financial Forecast'!B2</f>
        <v>1380000</v>
      </c>
      <c r="D5" s="34">
        <f>'Financial Forecast'!C2</f>
        <v>1112153.615</v>
      </c>
      <c r="E5" s="34">
        <f>'Financial Forecast'!D2</f>
        <v>142140</v>
      </c>
      <c r="F5" s="38">
        <f>D5/C5</f>
        <v>0.80590841666666668</v>
      </c>
      <c r="G5" s="38">
        <f>E5/C5</f>
        <v>0.10299999999999999</v>
      </c>
      <c r="H5" s="38">
        <f>(D5+E5)/C5</f>
        <v>0.90890841666666666</v>
      </c>
      <c r="L5" s="37">
        <v>46023</v>
      </c>
      <c r="M5" s="38">
        <f>0</f>
        <v>0</v>
      </c>
      <c r="N5" s="38">
        <v>0</v>
      </c>
      <c r="O5" s="38">
        <v>0</v>
      </c>
    </row>
    <row r="6" spans="2:15">
      <c r="B6" s="37">
        <v>46054</v>
      </c>
      <c r="C6" s="34">
        <f>'Financial Forecast'!B3</f>
        <v>1931454</v>
      </c>
      <c r="D6" s="34">
        <f>'Financial Forecast'!C3</f>
        <v>1138471.115</v>
      </c>
      <c r="E6" s="34">
        <f>'Financial Forecast'!D3</f>
        <v>131045</v>
      </c>
      <c r="F6" s="38">
        <f t="shared" ref="F6:F16" si="0">D6/C6</f>
        <v>0.58943734357639377</v>
      </c>
      <c r="G6" s="38">
        <f t="shared" ref="G6:G16" si="1">E6/C6</f>
        <v>6.7847849340445077E-2</v>
      </c>
      <c r="H6" s="38">
        <f t="shared" ref="H6:H16" si="2">(D6+E6)/C6</f>
        <v>0.65728519291683885</v>
      </c>
      <c r="L6" s="37">
        <v>46054</v>
      </c>
      <c r="M6" s="38">
        <f>(D6-D5)/D5</f>
        <v>2.3663547593647843E-2</v>
      </c>
      <c r="N6" s="38">
        <f>(E6-E5)/E5</f>
        <v>-7.805684536372591E-2</v>
      </c>
      <c r="O6" s="38">
        <f>(C6-C5)/C5</f>
        <v>0.39960434782608695</v>
      </c>
    </row>
    <row r="7" spans="2:15">
      <c r="B7" s="37">
        <v>46082</v>
      </c>
      <c r="C7" s="34">
        <f>'Financial Forecast'!B4</f>
        <v>2122909.1999999997</v>
      </c>
      <c r="D7" s="34">
        <f>'Financial Forecast'!C4</f>
        <v>1156138.0183333333</v>
      </c>
      <c r="E7" s="34">
        <f>'Financial Forecast'!D4</f>
        <v>127591</v>
      </c>
      <c r="F7" s="38">
        <f t="shared" si="0"/>
        <v>0.54460078572052606</v>
      </c>
      <c r="G7" s="38">
        <f t="shared" si="1"/>
        <v>6.0101958199625313E-2</v>
      </c>
      <c r="H7" s="38">
        <f t="shared" si="2"/>
        <v>0.60470274392015144</v>
      </c>
      <c r="L7" s="37">
        <v>46082</v>
      </c>
      <c r="M7" s="38">
        <f>(D7-D6)/D6</f>
        <v>1.5518095365408829E-2</v>
      </c>
      <c r="N7" s="38">
        <f t="shared" ref="N7:N16" si="3">(E7-E6)/E6</f>
        <v>-2.6357358159410888E-2</v>
      </c>
      <c r="O7" s="38">
        <f t="shared" ref="O7:O16" si="4">(C7-C6)/C6</f>
        <v>9.9124907970886036E-2</v>
      </c>
    </row>
    <row r="8" spans="2:15">
      <c r="B8" s="37">
        <v>46113</v>
      </c>
      <c r="C8" s="34">
        <f>'Financial Forecast'!B5</f>
        <v>2314363.1999999997</v>
      </c>
      <c r="D8" s="34">
        <f>'Financial Forecast'!C5</f>
        <v>1156138.0183333333</v>
      </c>
      <c r="E8" s="34">
        <f>'Financial Forecast'!D5</f>
        <v>123636</v>
      </c>
      <c r="F8" s="38">
        <f t="shared" si="0"/>
        <v>0.49954908474751647</v>
      </c>
      <c r="G8" s="38">
        <f t="shared" si="1"/>
        <v>5.3421174342903485E-2</v>
      </c>
      <c r="H8" s="38">
        <f t="shared" si="2"/>
        <v>0.55297025909041997</v>
      </c>
      <c r="L8" s="37">
        <v>46113</v>
      </c>
      <c r="M8" s="38">
        <f t="shared" ref="M8:M10" si="5">(D8-D7)/D7</f>
        <v>0</v>
      </c>
      <c r="N8" s="38">
        <f t="shared" si="3"/>
        <v>-3.0997484148568472E-2</v>
      </c>
      <c r="O8" s="38">
        <f t="shared" si="4"/>
        <v>9.018473328958207E-2</v>
      </c>
    </row>
    <row r="9" spans="2:15">
      <c r="B9" s="37">
        <v>46143</v>
      </c>
      <c r="C9" s="34">
        <f>'Financial Forecast'!B6</f>
        <v>2505818.4</v>
      </c>
      <c r="D9" s="34">
        <f>'Financial Forecast'!C6</f>
        <v>1156138.0183333333</v>
      </c>
      <c r="E9" s="34">
        <f>'Financial Forecast'!D6</f>
        <v>128182</v>
      </c>
      <c r="F9" s="38">
        <f t="shared" si="0"/>
        <v>0.46138140670262989</v>
      </c>
      <c r="G9" s="38">
        <f t="shared" si="1"/>
        <v>5.1153746815810759E-2</v>
      </c>
      <c r="H9" s="38">
        <f t="shared" si="2"/>
        <v>0.5125351535184407</v>
      </c>
      <c r="L9" s="37">
        <v>46143</v>
      </c>
      <c r="M9" s="38">
        <f t="shared" si="5"/>
        <v>0</v>
      </c>
      <c r="N9" s="38">
        <f t="shared" si="3"/>
        <v>3.6769225791840561E-2</v>
      </c>
      <c r="O9" s="38">
        <f t="shared" si="4"/>
        <v>8.2724785807171589E-2</v>
      </c>
    </row>
    <row r="10" spans="2:15">
      <c r="B10" s="37">
        <v>46174</v>
      </c>
      <c r="C10" s="34">
        <f>'Financial Forecast'!B7</f>
        <v>2535272.4</v>
      </c>
      <c r="D10" s="34">
        <f>'Financial Forecast'!C7</f>
        <v>1156138.0183333333</v>
      </c>
      <c r="E10" s="34">
        <f>'Financial Forecast'!D7</f>
        <v>132727</v>
      </c>
      <c r="F10" s="38">
        <f t="shared" si="0"/>
        <v>0.45602122215085578</v>
      </c>
      <c r="G10" s="38">
        <f t="shared" si="1"/>
        <v>5.2352165392562947E-2</v>
      </c>
      <c r="H10" s="38">
        <f t="shared" si="2"/>
        <v>0.50837338754341876</v>
      </c>
      <c r="L10" s="37">
        <v>46174</v>
      </c>
      <c r="M10" s="38">
        <f t="shared" si="5"/>
        <v>0</v>
      </c>
      <c r="N10" s="38">
        <f t="shared" si="3"/>
        <v>3.5457396514331184E-2</v>
      </c>
      <c r="O10" s="38">
        <f t="shared" si="4"/>
        <v>1.1754243643513832E-2</v>
      </c>
    </row>
    <row r="11" spans="2:15">
      <c r="B11" s="37">
        <v>46204</v>
      </c>
      <c r="C11" s="34">
        <f>'Financial Forecast'!B8</f>
        <v>2564727.6</v>
      </c>
      <c r="D11" s="34">
        <f>'Financial Forecast'!C8</f>
        <v>1156138.0183333333</v>
      </c>
      <c r="E11" s="34">
        <f>'Financial Forecast'!D8</f>
        <v>137273</v>
      </c>
      <c r="F11" s="38">
        <f t="shared" si="0"/>
        <v>0.45078394225310059</v>
      </c>
      <c r="G11" s="38">
        <f t="shared" si="1"/>
        <v>5.3523422916336223E-2</v>
      </c>
      <c r="H11" s="38">
        <f t="shared" si="2"/>
        <v>0.50430736516943686</v>
      </c>
      <c r="L11" s="37">
        <v>46204</v>
      </c>
      <c r="M11" s="38">
        <f t="shared" ref="M8:M16" si="6">(D11-D10)/D10</f>
        <v>0</v>
      </c>
      <c r="N11" s="38">
        <f t="shared" si="3"/>
        <v>3.4250755309771182E-2</v>
      </c>
      <c r="O11" s="38">
        <f t="shared" si="4"/>
        <v>1.1618159847438954E-2</v>
      </c>
    </row>
    <row r="12" spans="2:15">
      <c r="B12" s="37">
        <v>46235</v>
      </c>
      <c r="C12" s="34">
        <f>'Financial Forecast'!B9</f>
        <v>2594181.6</v>
      </c>
      <c r="D12" s="34">
        <f>'Financial Forecast'!C9</f>
        <v>1156138.0183333333</v>
      </c>
      <c r="E12" s="34">
        <f>'Financial Forecast'!D9</f>
        <v>141818</v>
      </c>
      <c r="F12" s="38">
        <f t="shared" si="0"/>
        <v>0.44566580008636764</v>
      </c>
      <c r="G12" s="38">
        <f t="shared" si="1"/>
        <v>5.4667722568073104E-2</v>
      </c>
      <c r="H12" s="38">
        <f t="shared" si="2"/>
        <v>0.50033352265444075</v>
      </c>
      <c r="L12" s="37">
        <v>46235</v>
      </c>
      <c r="M12" s="38">
        <f t="shared" si="6"/>
        <v>0</v>
      </c>
      <c r="N12" s="38">
        <f t="shared" si="3"/>
        <v>3.3109205743299848E-2</v>
      </c>
      <c r="O12" s="38">
        <f t="shared" si="4"/>
        <v>1.1484260550711115E-2</v>
      </c>
    </row>
    <row r="13" spans="2:15">
      <c r="B13" s="37">
        <v>46266</v>
      </c>
      <c r="C13" s="34">
        <f>'Financial Forecast'!B10</f>
        <v>2623636.7999999998</v>
      </c>
      <c r="D13" s="34">
        <f>'Financial Forecast'!C10</f>
        <v>1156138.0183333333</v>
      </c>
      <c r="E13" s="34">
        <f>'Financial Forecast'!D10</f>
        <v>146364</v>
      </c>
      <c r="F13" s="38">
        <f t="shared" si="0"/>
        <v>0.44066237305915718</v>
      </c>
      <c r="G13" s="38">
        <f t="shared" si="1"/>
        <v>5.5786685108243646E-2</v>
      </c>
      <c r="H13" s="38">
        <f t="shared" si="2"/>
        <v>0.49644905816740081</v>
      </c>
      <c r="L13" s="37">
        <v>46266</v>
      </c>
      <c r="M13" s="38">
        <f t="shared" si="6"/>
        <v>0</v>
      </c>
      <c r="N13" s="38">
        <f t="shared" si="3"/>
        <v>3.2055169301499105E-2</v>
      </c>
      <c r="O13" s="38">
        <f t="shared" si="4"/>
        <v>1.1354332325847859E-2</v>
      </c>
    </row>
    <row r="14" spans="2:15">
      <c r="B14" s="37">
        <v>46296</v>
      </c>
      <c r="C14" s="34">
        <f>'Financial Forecast'!B11</f>
        <v>2210909</v>
      </c>
      <c r="D14" s="34">
        <f>'Financial Forecast'!C11</f>
        <v>1156138.0183333333</v>
      </c>
      <c r="E14" s="34">
        <f>'Financial Forecast'!D11</f>
        <v>150909</v>
      </c>
      <c r="F14" s="38">
        <f t="shared" si="0"/>
        <v>0.52292428966245708</v>
      </c>
      <c r="G14" s="38">
        <f t="shared" si="1"/>
        <v>6.8256540635548549E-2</v>
      </c>
      <c r="H14" s="38">
        <f t="shared" si="2"/>
        <v>0.59118083029800561</v>
      </c>
      <c r="L14" s="37">
        <v>46296</v>
      </c>
      <c r="M14" s="38">
        <f t="shared" si="6"/>
        <v>0</v>
      </c>
      <c r="N14" s="38">
        <f t="shared" si="3"/>
        <v>3.1052717881446257E-2</v>
      </c>
      <c r="O14" s="38">
        <f t="shared" si="4"/>
        <v>-0.1573113321173113</v>
      </c>
    </row>
    <row r="15" spans="2:15">
      <c r="B15" s="37">
        <v>46327</v>
      </c>
      <c r="C15" s="34">
        <f>'Financial Forecast'!B12</f>
        <v>2682546</v>
      </c>
      <c r="D15" s="34">
        <f>'Financial Forecast'!C12</f>
        <v>1156138.0183333333</v>
      </c>
      <c r="E15" s="34">
        <f>'Financial Forecast'!D12</f>
        <v>155455</v>
      </c>
      <c r="F15" s="38">
        <f t="shared" si="0"/>
        <v>0.43098534688066237</v>
      </c>
      <c r="G15" s="38">
        <f t="shared" si="1"/>
        <v>5.7950543998127151E-2</v>
      </c>
      <c r="H15" s="38">
        <f t="shared" si="2"/>
        <v>0.48893589087878953</v>
      </c>
      <c r="L15" s="37">
        <v>46327</v>
      </c>
      <c r="M15" s="38">
        <f t="shared" si="6"/>
        <v>0</v>
      </c>
      <c r="N15" s="38">
        <f t="shared" si="3"/>
        <v>3.0124114532599115E-2</v>
      </c>
      <c r="O15" s="38">
        <f t="shared" si="4"/>
        <v>0.21332266502149116</v>
      </c>
    </row>
    <row r="16" spans="2:15">
      <c r="B16" s="37">
        <v>46357</v>
      </c>
      <c r="C16" s="34">
        <f>'Financial Forecast'!B13</f>
        <v>2712000</v>
      </c>
      <c r="D16" s="34">
        <f>'Financial Forecast'!C13</f>
        <v>1156138.0183333333</v>
      </c>
      <c r="E16" s="34">
        <f>'Financial Forecast'!D13</f>
        <v>160000</v>
      </c>
      <c r="F16" s="38">
        <f t="shared" si="0"/>
        <v>0.42630457903146507</v>
      </c>
      <c r="G16" s="38">
        <f t="shared" si="1"/>
        <v>5.8997050147492625E-2</v>
      </c>
      <c r="H16" s="38">
        <f t="shared" si="2"/>
        <v>0.48530162917895769</v>
      </c>
      <c r="L16" s="37">
        <v>46357</v>
      </c>
      <c r="M16" s="38">
        <f t="shared" si="6"/>
        <v>0</v>
      </c>
      <c r="N16" s="38">
        <f t="shared" si="3"/>
        <v>2.9236756617670709E-2</v>
      </c>
      <c r="O16" s="38">
        <f t="shared" si="4"/>
        <v>1.0979867633211135E-2</v>
      </c>
    </row>
    <row r="19" spans="2:9">
      <c r="B19" s="36" t="s">
        <v>63</v>
      </c>
    </row>
    <row r="20" spans="2:9">
      <c r="B20" t="s">
        <v>35</v>
      </c>
      <c r="C20" t="s">
        <v>1</v>
      </c>
      <c r="D20" t="s">
        <v>36</v>
      </c>
      <c r="E20" t="s">
        <v>37</v>
      </c>
      <c r="F20" t="s">
        <v>12</v>
      </c>
      <c r="G20" t="s">
        <v>64</v>
      </c>
      <c r="H20" t="s">
        <v>65</v>
      </c>
      <c r="I20" t="s">
        <v>66</v>
      </c>
    </row>
    <row r="21" spans="2:9">
      <c r="B21" s="37">
        <v>46023</v>
      </c>
      <c r="C21" s="34">
        <v>1150000</v>
      </c>
      <c r="D21" s="34">
        <v>1112153.615</v>
      </c>
      <c r="E21" s="34">
        <v>142140</v>
      </c>
      <c r="F21">
        <f>'Financial Forecast'!H2</f>
        <v>125706.38500000001</v>
      </c>
      <c r="G21" s="39">
        <f>C21/D21</f>
        <v>1.0340298179042471</v>
      </c>
      <c r="H21" s="39">
        <f>C21/(D21+E21)</f>
        <v>0.91685071680764318</v>
      </c>
      <c r="I21" s="38">
        <f>F21/C21</f>
        <v>0.1093099</v>
      </c>
    </row>
    <row r="22" spans="2:9">
      <c r="B22" s="37">
        <v>46054</v>
      </c>
      <c r="C22" s="34">
        <v>1609545</v>
      </c>
      <c r="D22" s="34">
        <v>1138471.115</v>
      </c>
      <c r="E22" s="34">
        <v>131045</v>
      </c>
      <c r="F22">
        <f>'Financial Forecast'!H3</f>
        <v>661937.88500000001</v>
      </c>
      <c r="G22" s="39">
        <f t="shared" ref="G22:G32" si="7">C22/D22</f>
        <v>1.4137776345779314</v>
      </c>
      <c r="H22" s="39">
        <f t="shared" ref="H22:H32" si="8">C22/(D22+E22)</f>
        <v>1.2678413302378599</v>
      </c>
      <c r="I22" s="38">
        <f t="shared" ref="I22:I32" si="9">F22/C22</f>
        <v>0.41125776849979345</v>
      </c>
    </row>
    <row r="23" spans="2:9">
      <c r="B23" s="37">
        <v>46082</v>
      </c>
      <c r="C23" s="34">
        <v>1769091</v>
      </c>
      <c r="D23" s="34">
        <v>1156138.0183333333</v>
      </c>
      <c r="E23" s="34">
        <v>127591</v>
      </c>
      <c r="F23">
        <f>'Financial Forecast'!H4</f>
        <v>839180.18166666641</v>
      </c>
      <c r="G23" s="39">
        <f t="shared" si="7"/>
        <v>1.5301728443722387</v>
      </c>
      <c r="H23" s="39">
        <f t="shared" si="8"/>
        <v>1.378087567340974</v>
      </c>
      <c r="I23" s="38">
        <f t="shared" si="9"/>
        <v>0.47435670729581825</v>
      </c>
    </row>
    <row r="24" spans="2:9">
      <c r="B24" s="37">
        <v>46113</v>
      </c>
      <c r="C24" s="34">
        <v>1928636</v>
      </c>
      <c r="D24" s="34">
        <v>1156138.0183333333</v>
      </c>
      <c r="E24" s="34">
        <v>123636</v>
      </c>
      <c r="F24">
        <f>'Financial Forecast'!H5</f>
        <v>1034589.1816666664</v>
      </c>
      <c r="G24" s="39">
        <f t="shared" si="7"/>
        <v>1.6681710742289102</v>
      </c>
      <c r="H24" s="39">
        <f t="shared" si="8"/>
        <v>1.5070129353865835</v>
      </c>
      <c r="I24" s="38">
        <f t="shared" si="9"/>
        <v>0.53643568909149597</v>
      </c>
    </row>
    <row r="25" spans="2:9">
      <c r="B25" s="37">
        <v>46143</v>
      </c>
      <c r="C25" s="34">
        <v>2088182</v>
      </c>
      <c r="D25" s="34">
        <v>1156138.0183333333</v>
      </c>
      <c r="E25" s="34">
        <v>128182</v>
      </c>
      <c r="F25">
        <f>'Financial Forecast'!H6</f>
        <v>1221498.3816666666</v>
      </c>
      <c r="G25" s="39">
        <f t="shared" si="7"/>
        <v>1.8061701690342158</v>
      </c>
      <c r="H25" s="39">
        <f t="shared" si="8"/>
        <v>1.6259047357292158</v>
      </c>
      <c r="I25" s="38">
        <f t="shared" si="9"/>
        <v>0.5849578157778712</v>
      </c>
    </row>
    <row r="26" spans="2:9">
      <c r="B26" s="37">
        <v>46174</v>
      </c>
      <c r="C26" s="34">
        <v>2112727</v>
      </c>
      <c r="D26" s="34">
        <v>1156138.0183333333</v>
      </c>
      <c r="E26" s="34">
        <v>132727</v>
      </c>
      <c r="F26">
        <f>'Financial Forecast'!H7</f>
        <v>1246407.3816666666</v>
      </c>
      <c r="G26" s="39">
        <f t="shared" si="7"/>
        <v>1.8274003332626907</v>
      </c>
      <c r="H26" s="39">
        <f t="shared" si="8"/>
        <v>1.6392151000668986</v>
      </c>
      <c r="I26" s="38">
        <f t="shared" si="9"/>
        <v>0.58995193494789744</v>
      </c>
    </row>
    <row r="27" spans="2:9">
      <c r="B27" s="37">
        <v>46204</v>
      </c>
      <c r="C27" s="34">
        <v>2137273</v>
      </c>
      <c r="D27" s="34">
        <v>1156138.0183333333</v>
      </c>
      <c r="E27" s="34">
        <v>137273</v>
      </c>
      <c r="F27">
        <f>'Financial Forecast'!H8</f>
        <v>1271316.5816666668</v>
      </c>
      <c r="G27" s="39">
        <f t="shared" si="7"/>
        <v>1.8486313624397996</v>
      </c>
      <c r="H27" s="39">
        <f t="shared" si="8"/>
        <v>1.6524314156176374</v>
      </c>
      <c r="I27" s="38">
        <f t="shared" si="9"/>
        <v>0.59483116179667583</v>
      </c>
    </row>
    <row r="28" spans="2:9">
      <c r="B28" s="37">
        <v>46235</v>
      </c>
      <c r="C28" s="34">
        <v>2161818</v>
      </c>
      <c r="D28" s="34">
        <v>1156138.0183333333</v>
      </c>
      <c r="E28" s="34">
        <v>141818</v>
      </c>
      <c r="F28">
        <f>'Financial Forecast'!H9</f>
        <v>1296225.5816666668</v>
      </c>
      <c r="G28" s="39">
        <f t="shared" si="7"/>
        <v>1.8698615266682743</v>
      </c>
      <c r="H28" s="39">
        <f t="shared" si="8"/>
        <v>1.6655556655732651</v>
      </c>
      <c r="I28" s="38">
        <f t="shared" si="9"/>
        <v>0.59959977281467114</v>
      </c>
    </row>
    <row r="29" spans="2:9">
      <c r="B29" s="37">
        <v>46266</v>
      </c>
      <c r="C29" s="34">
        <v>2186364</v>
      </c>
      <c r="D29" s="34">
        <v>1156138.0183333333</v>
      </c>
      <c r="E29" s="34">
        <v>146364</v>
      </c>
      <c r="F29">
        <f>'Financial Forecast'!H10</f>
        <v>1321134.7816666665</v>
      </c>
      <c r="G29" s="39">
        <f t="shared" si="7"/>
        <v>1.8910925558453833</v>
      </c>
      <c r="H29" s="39">
        <f t="shared" si="8"/>
        <v>1.6785878019579934</v>
      </c>
      <c r="I29" s="38">
        <f t="shared" si="9"/>
        <v>0.60426113019911898</v>
      </c>
    </row>
    <row r="30" spans="2:9">
      <c r="B30" s="37">
        <v>46296</v>
      </c>
      <c r="C30" s="34">
        <v>2210909</v>
      </c>
      <c r="D30" s="34">
        <v>1156138.0183333333</v>
      </c>
      <c r="E30" s="34">
        <v>150909</v>
      </c>
      <c r="F30">
        <f>'Financial Forecast'!H11</f>
        <v>903861.98166666669</v>
      </c>
      <c r="G30" s="39">
        <f t="shared" si="7"/>
        <v>1.9123227200738582</v>
      </c>
      <c r="H30" s="39">
        <f t="shared" si="8"/>
        <v>1.6915298141448778</v>
      </c>
      <c r="I30" s="38">
        <f t="shared" si="9"/>
        <v>0.40881916970199439</v>
      </c>
    </row>
    <row r="31" spans="2:9">
      <c r="B31" s="37">
        <v>46327</v>
      </c>
      <c r="C31" s="34">
        <v>2235455</v>
      </c>
      <c r="D31" s="34">
        <v>1156138.0183333333</v>
      </c>
      <c r="E31" s="34">
        <v>155455</v>
      </c>
      <c r="F31">
        <f>'Financial Forecast'!H12</f>
        <v>1370952.9816666667</v>
      </c>
      <c r="G31" s="39">
        <f t="shared" si="7"/>
        <v>1.9335537492509671</v>
      </c>
      <c r="H31" s="39">
        <f t="shared" si="8"/>
        <v>1.7043815945594434</v>
      </c>
      <c r="I31" s="38">
        <f t="shared" si="9"/>
        <v>0.61327693094545255</v>
      </c>
    </row>
    <row r="32" spans="2:9">
      <c r="B32" s="37">
        <v>46357</v>
      </c>
      <c r="C32" s="34">
        <v>2260000</v>
      </c>
      <c r="D32" s="34">
        <v>1156138.0183333333</v>
      </c>
      <c r="E32" s="34">
        <v>160000</v>
      </c>
      <c r="F32">
        <f>'Financial Forecast'!H13</f>
        <v>1395861.9816666667</v>
      </c>
      <c r="G32" s="39">
        <f t="shared" si="7"/>
        <v>1.9547839134794418</v>
      </c>
      <c r="H32" s="39">
        <f t="shared" si="8"/>
        <v>1.7171451386701135</v>
      </c>
      <c r="I32" s="38">
        <f t="shared" si="9"/>
        <v>0.61763804498525077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89ACE-EC57-40F9-B7B0-75929ED68A41}">
  <dimension ref="A2:E14"/>
  <sheetViews>
    <sheetView workbookViewId="0">
      <selection activeCell="R8" sqref="R8"/>
    </sheetView>
  </sheetViews>
  <sheetFormatPr defaultRowHeight="15.6"/>
  <cols>
    <col min="1" max="1" width="10.5" bestFit="1" customWidth="1"/>
    <col min="2" max="2" width="12.3984375" bestFit="1" customWidth="1"/>
    <col min="3" max="3" width="13.69921875" bestFit="1" customWidth="1"/>
    <col min="4" max="4" width="11.3984375" bestFit="1" customWidth="1"/>
  </cols>
  <sheetData>
    <row r="2" spans="1:5">
      <c r="A2" t="s">
        <v>35</v>
      </c>
      <c r="B2" t="s">
        <v>32</v>
      </c>
      <c r="C2" t="s">
        <v>72</v>
      </c>
      <c r="D2" t="s">
        <v>34</v>
      </c>
      <c r="E2" t="s">
        <v>71</v>
      </c>
    </row>
    <row r="3" spans="1:5">
      <c r="A3" s="30">
        <v>46023</v>
      </c>
    </row>
    <row r="4" spans="1:5">
      <c r="A4" s="30">
        <v>46054</v>
      </c>
    </row>
    <row r="5" spans="1:5">
      <c r="A5" s="30">
        <v>46082</v>
      </c>
    </row>
    <row r="6" spans="1:5">
      <c r="A6" s="30">
        <v>46113</v>
      </c>
    </row>
    <row r="7" spans="1:5">
      <c r="A7" s="30">
        <v>46143</v>
      </c>
    </row>
    <row r="8" spans="1:5">
      <c r="A8" s="30">
        <v>46174</v>
      </c>
    </row>
    <row r="9" spans="1:5">
      <c r="A9" s="30">
        <v>46204</v>
      </c>
    </row>
    <row r="10" spans="1:5">
      <c r="A10" s="30">
        <v>46235</v>
      </c>
    </row>
    <row r="11" spans="1:5">
      <c r="A11" s="30">
        <v>46266</v>
      </c>
    </row>
    <row r="12" spans="1:5">
      <c r="A12" s="30">
        <v>46296</v>
      </c>
    </row>
    <row r="13" spans="1:5">
      <c r="A13" s="30">
        <v>46327</v>
      </c>
    </row>
    <row r="14" spans="1:5">
      <c r="A14" s="30">
        <v>46357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FEAE5-8551-4671-9DD2-88E2C74CC2B7}">
  <dimension ref="B3:M32"/>
  <sheetViews>
    <sheetView topLeftCell="A10" workbookViewId="0">
      <selection activeCell="I27" sqref="I27"/>
    </sheetView>
  </sheetViews>
  <sheetFormatPr defaultRowHeight="15.6"/>
  <cols>
    <col min="2" max="2" width="10.8984375" customWidth="1"/>
    <col min="3" max="3" width="13.69921875" bestFit="1" customWidth="1"/>
    <col min="4" max="4" width="12.09765625" bestFit="1" customWidth="1"/>
    <col min="5" max="5" width="18" bestFit="1" customWidth="1"/>
    <col min="6" max="6" width="18.3984375" bestFit="1" customWidth="1"/>
    <col min="7" max="7" width="13.09765625" bestFit="1" customWidth="1"/>
    <col min="10" max="10" width="10.5" bestFit="1" customWidth="1"/>
    <col min="11" max="11" width="18.59765625" bestFit="1" customWidth="1"/>
    <col min="12" max="12" width="12.09765625" bestFit="1" customWidth="1"/>
    <col min="13" max="13" width="17.09765625" bestFit="1" customWidth="1"/>
  </cols>
  <sheetData>
    <row r="3" spans="2:13">
      <c r="C3" t="s">
        <v>73</v>
      </c>
      <c r="K3" t="s">
        <v>76</v>
      </c>
    </row>
    <row r="4" spans="2:13">
      <c r="B4" t="s">
        <v>35</v>
      </c>
      <c r="C4" t="s">
        <v>1</v>
      </c>
      <c r="D4" t="s">
        <v>3</v>
      </c>
      <c r="E4" t="s">
        <v>12</v>
      </c>
      <c r="F4" t="s">
        <v>74</v>
      </c>
      <c r="G4" t="s">
        <v>75</v>
      </c>
      <c r="J4" t="s">
        <v>35</v>
      </c>
      <c r="K4" t="s">
        <v>38</v>
      </c>
      <c r="L4" t="s">
        <v>3</v>
      </c>
      <c r="M4" t="s">
        <v>77</v>
      </c>
    </row>
    <row r="5" spans="2:13">
      <c r="B5" s="30">
        <v>46023</v>
      </c>
      <c r="C5" s="34">
        <f>'Financial Forecast'!B2</f>
        <v>1380000</v>
      </c>
      <c r="D5" s="34">
        <f>'Financial Forecast'!E2</f>
        <v>200000</v>
      </c>
      <c r="E5" s="34">
        <f>'Financial Forecast'!H2</f>
        <v>125706.38500000001</v>
      </c>
      <c r="F5" s="38">
        <f>D5/C5</f>
        <v>0.14492753623188406</v>
      </c>
      <c r="G5" s="38">
        <f>D5/E5</f>
        <v>1.5910090804058996</v>
      </c>
      <c r="J5" s="30">
        <v>46023</v>
      </c>
      <c r="K5" s="34">
        <f>'Financial Forecast'!F2</f>
        <v>-140000</v>
      </c>
      <c r="L5" s="34">
        <f>D5</f>
        <v>200000</v>
      </c>
      <c r="M5" t="str">
        <f>IF(K5&gt;=L5, "OK","Liquidity Risk")</f>
        <v>Liquidity Risk</v>
      </c>
    </row>
    <row r="6" spans="2:13">
      <c r="B6" s="30">
        <v>46054</v>
      </c>
      <c r="C6" s="34">
        <f>'Financial Forecast'!B3</f>
        <v>1931454</v>
      </c>
      <c r="D6" s="34">
        <f>'Financial Forecast'!E3</f>
        <v>20000</v>
      </c>
      <c r="E6" s="34">
        <f>'Financial Forecast'!H3</f>
        <v>661937.88500000001</v>
      </c>
      <c r="F6" s="38">
        <f t="shared" ref="F6:F16" si="0">D6/C6</f>
        <v>1.0354893256582865E-2</v>
      </c>
      <c r="G6" s="38">
        <f t="shared" ref="G6:G16" si="1">D6/E6</f>
        <v>3.0214315350752283E-2</v>
      </c>
      <c r="J6" s="30">
        <v>46054</v>
      </c>
      <c r="K6" s="34">
        <f>'Financial Forecast'!F3</f>
        <v>47273</v>
      </c>
      <c r="L6" s="34">
        <f t="shared" ref="L6:L16" si="2">D6</f>
        <v>20000</v>
      </c>
      <c r="M6" t="str">
        <f t="shared" ref="M6:M16" si="3">IF(K6&gt;=L6, "OK","Liquidity Risk")</f>
        <v>OK</v>
      </c>
    </row>
    <row r="7" spans="2:13">
      <c r="B7" s="30">
        <v>46082</v>
      </c>
      <c r="C7" s="34">
        <f>'Financial Forecast'!B4</f>
        <v>2122909.1999999997</v>
      </c>
      <c r="D7" s="34">
        <f>'Financial Forecast'!E4</f>
        <v>20000</v>
      </c>
      <c r="E7" s="34">
        <f>'Financial Forecast'!H4</f>
        <v>839180.18166666641</v>
      </c>
      <c r="F7" s="38">
        <f t="shared" si="0"/>
        <v>9.4210341167676893E-3</v>
      </c>
      <c r="G7" s="38">
        <f t="shared" si="1"/>
        <v>2.3832783991965468E-2</v>
      </c>
      <c r="J7" s="30">
        <v>46082</v>
      </c>
      <c r="K7" s="34">
        <f>'Financial Forecast'!F4</f>
        <v>54545</v>
      </c>
      <c r="L7" s="34">
        <f t="shared" si="2"/>
        <v>20000</v>
      </c>
      <c r="M7" t="str">
        <f t="shared" si="3"/>
        <v>OK</v>
      </c>
    </row>
    <row r="8" spans="2:13">
      <c r="B8" s="30">
        <v>46113</v>
      </c>
      <c r="C8" s="34">
        <f>'Financial Forecast'!B5</f>
        <v>2314363.1999999997</v>
      </c>
      <c r="D8" s="34">
        <f>'Financial Forecast'!E5</f>
        <v>20000</v>
      </c>
      <c r="E8" s="34">
        <f>'Financial Forecast'!H5</f>
        <v>1034589.1816666664</v>
      </c>
      <c r="F8" s="38">
        <f t="shared" si="0"/>
        <v>8.6416859721931295E-3</v>
      </c>
      <c r="G8" s="38">
        <f t="shared" si="1"/>
        <v>1.9331344609443041E-2</v>
      </c>
      <c r="J8" s="30">
        <v>46113</v>
      </c>
      <c r="K8" s="34">
        <f>'Financial Forecast'!F5</f>
        <v>61818</v>
      </c>
      <c r="L8" s="34">
        <f t="shared" si="2"/>
        <v>20000</v>
      </c>
      <c r="M8" t="str">
        <f t="shared" si="3"/>
        <v>OK</v>
      </c>
    </row>
    <row r="9" spans="2:13">
      <c r="B9" s="30">
        <v>46143</v>
      </c>
      <c r="C9" s="34">
        <f>'Financial Forecast'!B6</f>
        <v>2505818.4</v>
      </c>
      <c r="D9" s="34">
        <f>'Financial Forecast'!E6</f>
        <v>20000</v>
      </c>
      <c r="E9" s="34">
        <f>'Financial Forecast'!H6</f>
        <v>1221498.3816666666</v>
      </c>
      <c r="F9" s="38">
        <f t="shared" si="0"/>
        <v>7.9814243522196189E-3</v>
      </c>
      <c r="G9" s="38">
        <f t="shared" si="1"/>
        <v>1.6373333194851319E-2</v>
      </c>
      <c r="J9" s="30">
        <v>46143</v>
      </c>
      <c r="K9" s="34">
        <f>'Financial Forecast'!F6</f>
        <v>69091</v>
      </c>
      <c r="L9" s="34">
        <f t="shared" si="2"/>
        <v>20000</v>
      </c>
      <c r="M9" t="str">
        <f t="shared" si="3"/>
        <v>OK</v>
      </c>
    </row>
    <row r="10" spans="2:13">
      <c r="B10" s="30">
        <v>46174</v>
      </c>
      <c r="C10" s="34">
        <f>'Financial Forecast'!B7</f>
        <v>2535272.4</v>
      </c>
      <c r="D10" s="34">
        <f>'Financial Forecast'!E7</f>
        <v>20000</v>
      </c>
      <c r="E10" s="34">
        <f>'Financial Forecast'!H7</f>
        <v>1246407.3816666666</v>
      </c>
      <c r="F10" s="38">
        <f t="shared" si="0"/>
        <v>7.8886986660683875E-3</v>
      </c>
      <c r="G10" s="38">
        <f t="shared" si="1"/>
        <v>1.6046118062343687E-2</v>
      </c>
      <c r="J10" s="30">
        <v>46174</v>
      </c>
      <c r="K10" s="34">
        <f>'Financial Forecast'!F7</f>
        <v>76364</v>
      </c>
      <c r="L10" s="34">
        <f t="shared" si="2"/>
        <v>20000</v>
      </c>
      <c r="M10" t="str">
        <f t="shared" si="3"/>
        <v>OK</v>
      </c>
    </row>
    <row r="11" spans="2:13">
      <c r="B11" s="30">
        <v>46204</v>
      </c>
      <c r="C11" s="34">
        <f>'Financial Forecast'!B8</f>
        <v>2564727.6</v>
      </c>
      <c r="D11" s="34">
        <f>'Financial Forecast'!E8</f>
        <v>20000</v>
      </c>
      <c r="E11" s="34">
        <f>'Financial Forecast'!H8</f>
        <v>1271316.5816666668</v>
      </c>
      <c r="F11" s="38">
        <f t="shared" si="0"/>
        <v>7.7980991041699706E-3</v>
      </c>
      <c r="G11" s="38">
        <f t="shared" si="1"/>
        <v>1.573172275766313E-2</v>
      </c>
      <c r="J11" s="30">
        <v>46204</v>
      </c>
      <c r="K11" s="34">
        <f>'Financial Forecast'!F8</f>
        <v>83636</v>
      </c>
      <c r="L11" s="34">
        <f t="shared" si="2"/>
        <v>20000</v>
      </c>
      <c r="M11" t="str">
        <f t="shared" si="3"/>
        <v>OK</v>
      </c>
    </row>
    <row r="12" spans="2:13">
      <c r="B12" s="30">
        <v>46235</v>
      </c>
      <c r="C12" s="34">
        <f>'Financial Forecast'!B9</f>
        <v>2594181.6</v>
      </c>
      <c r="D12" s="34">
        <f>'Financial Forecast'!E9</f>
        <v>20000</v>
      </c>
      <c r="E12" s="34">
        <f>'Financial Forecast'!H9</f>
        <v>1296225.5816666668</v>
      </c>
      <c r="F12" s="38">
        <f t="shared" si="0"/>
        <v>7.7095605026263388E-3</v>
      </c>
      <c r="G12" s="38">
        <f t="shared" si="1"/>
        <v>1.5429413122895098E-2</v>
      </c>
      <c r="J12" s="30">
        <v>46235</v>
      </c>
      <c r="K12" s="34">
        <f>'Financial Forecast'!F9</f>
        <v>90909</v>
      </c>
      <c r="L12" s="34">
        <f t="shared" si="2"/>
        <v>20000</v>
      </c>
      <c r="M12" t="str">
        <f t="shared" si="3"/>
        <v>OK</v>
      </c>
    </row>
    <row r="13" spans="2:13">
      <c r="B13" s="30">
        <v>46266</v>
      </c>
      <c r="C13" s="34">
        <f>'Financial Forecast'!B10</f>
        <v>2623636.7999999998</v>
      </c>
      <c r="D13" s="34">
        <f>'Financial Forecast'!E10</f>
        <v>20000</v>
      </c>
      <c r="E13" s="34">
        <f>'Financial Forecast'!H10</f>
        <v>1321134.7816666665</v>
      </c>
      <c r="F13" s="38">
        <f t="shared" si="0"/>
        <v>7.6230063551479387E-3</v>
      </c>
      <c r="G13" s="38">
        <f t="shared" si="1"/>
        <v>1.5138500838475517E-2</v>
      </c>
      <c r="J13" s="30">
        <v>46266</v>
      </c>
      <c r="K13" s="34">
        <f>'Financial Forecast'!F10</f>
        <v>98182</v>
      </c>
      <c r="L13" s="34">
        <f t="shared" si="2"/>
        <v>20000</v>
      </c>
      <c r="M13" t="str">
        <f t="shared" si="3"/>
        <v>OK</v>
      </c>
    </row>
    <row r="14" spans="2:13">
      <c r="B14" s="30">
        <v>46296</v>
      </c>
      <c r="C14" s="34">
        <f>'Financial Forecast'!B11</f>
        <v>2210909</v>
      </c>
      <c r="D14" s="34">
        <f>'Financial Forecast'!E11</f>
        <v>20000</v>
      </c>
      <c r="E14" s="34">
        <f>'Financial Forecast'!H11</f>
        <v>903861.98166666669</v>
      </c>
      <c r="F14" s="38">
        <f t="shared" si="0"/>
        <v>9.0460530035383641E-3</v>
      </c>
      <c r="G14" s="38">
        <f t="shared" si="1"/>
        <v>2.212727208983966E-2</v>
      </c>
      <c r="J14" s="30">
        <v>46296</v>
      </c>
      <c r="K14" s="34">
        <f>'Financial Forecast'!F11</f>
        <v>105455</v>
      </c>
      <c r="L14" s="34">
        <f t="shared" si="2"/>
        <v>20000</v>
      </c>
      <c r="M14" t="str">
        <f t="shared" si="3"/>
        <v>OK</v>
      </c>
    </row>
    <row r="15" spans="2:13">
      <c r="B15" s="30">
        <v>46327</v>
      </c>
      <c r="C15" s="34">
        <f>'Financial Forecast'!B12</f>
        <v>2682546</v>
      </c>
      <c r="D15" s="34">
        <f>'Financial Forecast'!E12</f>
        <v>20000</v>
      </c>
      <c r="E15" s="34">
        <f>'Financial Forecast'!H12</f>
        <v>1370952.9816666667</v>
      </c>
      <c r="F15" s="38">
        <f t="shared" si="0"/>
        <v>7.4556037436077516E-3</v>
      </c>
      <c r="G15" s="38">
        <f t="shared" si="1"/>
        <v>1.4588392357326516E-2</v>
      </c>
      <c r="J15" s="30">
        <v>46327</v>
      </c>
      <c r="K15" s="34">
        <f>'Financial Forecast'!F12</f>
        <v>112727</v>
      </c>
      <c r="L15" s="34">
        <f t="shared" si="2"/>
        <v>20000</v>
      </c>
      <c r="M15" t="str">
        <f t="shared" si="3"/>
        <v>OK</v>
      </c>
    </row>
    <row r="16" spans="2:13">
      <c r="B16" s="30">
        <v>46357</v>
      </c>
      <c r="C16" s="34">
        <f>'Financial Forecast'!B13</f>
        <v>2712000</v>
      </c>
      <c r="D16" s="34">
        <f>'Financial Forecast'!E13</f>
        <v>20000</v>
      </c>
      <c r="E16" s="34">
        <f>'Financial Forecast'!H13</f>
        <v>1395861.9816666667</v>
      </c>
      <c r="F16" s="38">
        <f t="shared" si="0"/>
        <v>7.3746312684365781E-3</v>
      </c>
      <c r="G16" s="38">
        <f t="shared" si="1"/>
        <v>1.4328064137200652E-2</v>
      </c>
      <c r="J16" s="30">
        <v>46357</v>
      </c>
      <c r="K16" s="34">
        <f>'Financial Forecast'!F13</f>
        <v>120000</v>
      </c>
      <c r="L16" s="34">
        <f t="shared" si="2"/>
        <v>20000</v>
      </c>
      <c r="M16" t="str">
        <f t="shared" si="3"/>
        <v>OK</v>
      </c>
    </row>
    <row r="19" spans="2:7">
      <c r="C19" t="s">
        <v>78</v>
      </c>
    </row>
    <row r="20" spans="2:7">
      <c r="B20" t="s">
        <v>35</v>
      </c>
      <c r="C20" t="s">
        <v>3</v>
      </c>
      <c r="D20" t="s">
        <v>12</v>
      </c>
      <c r="E20" t="s">
        <v>79</v>
      </c>
      <c r="F20" t="s">
        <v>80</v>
      </c>
      <c r="G20" t="s">
        <v>81</v>
      </c>
    </row>
    <row r="21" spans="2:7">
      <c r="B21" s="30">
        <v>46023</v>
      </c>
      <c r="C21" s="34">
        <f>D5</f>
        <v>200000</v>
      </c>
      <c r="D21" s="34">
        <f>E5</f>
        <v>125706.38500000001</v>
      </c>
      <c r="E21" s="34">
        <f>C21</f>
        <v>200000</v>
      </c>
      <c r="F21" s="34">
        <f>D21</f>
        <v>125706.38500000001</v>
      </c>
      <c r="G21" t="str">
        <f>IF(F21&gt;=E21,"Yes","No")</f>
        <v>No</v>
      </c>
    </row>
    <row r="22" spans="2:7">
      <c r="B22" s="30">
        <v>46054</v>
      </c>
      <c r="C22" s="34">
        <f t="shared" ref="C22:D22" si="4">D6</f>
        <v>20000</v>
      </c>
      <c r="D22" s="34">
        <f t="shared" si="4"/>
        <v>661937.88500000001</v>
      </c>
      <c r="E22" s="34">
        <f>C22+E21</f>
        <v>220000</v>
      </c>
      <c r="F22" s="34">
        <f>D22+F21</f>
        <v>787644.27</v>
      </c>
      <c r="G22" t="str">
        <f t="shared" ref="G22:G32" si="5">IF(F22&gt;=E22,"Yes","No")</f>
        <v>Yes</v>
      </c>
    </row>
    <row r="23" spans="2:7">
      <c r="B23" s="30">
        <v>46082</v>
      </c>
      <c r="C23" s="34">
        <f t="shared" ref="C23:D23" si="6">D7</f>
        <v>20000</v>
      </c>
      <c r="D23" s="34">
        <f t="shared" si="6"/>
        <v>839180.18166666641</v>
      </c>
      <c r="E23" s="34">
        <f>C23+E22</f>
        <v>240000</v>
      </c>
      <c r="F23" s="34">
        <f t="shared" ref="F23:F32" si="7">D23+F22</f>
        <v>1626824.4516666664</v>
      </c>
      <c r="G23" t="str">
        <f t="shared" si="5"/>
        <v>Yes</v>
      </c>
    </row>
    <row r="24" spans="2:7">
      <c r="B24" s="30">
        <v>46113</v>
      </c>
      <c r="C24" s="34">
        <f t="shared" ref="C24:D24" si="8">D8</f>
        <v>20000</v>
      </c>
      <c r="D24" s="34">
        <f t="shared" si="8"/>
        <v>1034589.1816666664</v>
      </c>
      <c r="E24" s="34">
        <f>C24+E23</f>
        <v>260000</v>
      </c>
      <c r="F24" s="34">
        <f t="shared" si="7"/>
        <v>2661413.6333333328</v>
      </c>
      <c r="G24" t="str">
        <f t="shared" si="5"/>
        <v>Yes</v>
      </c>
    </row>
    <row r="25" spans="2:7">
      <c r="B25" s="30">
        <v>46143</v>
      </c>
      <c r="C25" s="34">
        <f t="shared" ref="C25:D25" si="9">D9</f>
        <v>20000</v>
      </c>
      <c r="D25" s="34">
        <f t="shared" si="9"/>
        <v>1221498.3816666666</v>
      </c>
      <c r="E25" s="34">
        <f t="shared" ref="E25:E32" si="10">C25+E24</f>
        <v>280000</v>
      </c>
      <c r="F25" s="34">
        <f t="shared" si="7"/>
        <v>3882912.0149999997</v>
      </c>
      <c r="G25" t="str">
        <f t="shared" si="5"/>
        <v>Yes</v>
      </c>
    </row>
    <row r="26" spans="2:7">
      <c r="B26" s="30">
        <v>46174</v>
      </c>
      <c r="C26" s="34">
        <f t="shared" ref="C26:D26" si="11">D10</f>
        <v>20000</v>
      </c>
      <c r="D26" s="34">
        <f t="shared" si="11"/>
        <v>1246407.3816666666</v>
      </c>
      <c r="E26" s="34">
        <f t="shared" si="10"/>
        <v>300000</v>
      </c>
      <c r="F26" s="34">
        <f t="shared" si="7"/>
        <v>5129319.3966666665</v>
      </c>
      <c r="G26" t="str">
        <f t="shared" si="5"/>
        <v>Yes</v>
      </c>
    </row>
    <row r="27" spans="2:7">
      <c r="B27" s="30">
        <v>46204</v>
      </c>
      <c r="C27" s="34">
        <f t="shared" ref="C27:D27" si="12">D11</f>
        <v>20000</v>
      </c>
      <c r="D27" s="34">
        <f t="shared" si="12"/>
        <v>1271316.5816666668</v>
      </c>
      <c r="E27" s="34">
        <f t="shared" si="10"/>
        <v>320000</v>
      </c>
      <c r="F27" s="34">
        <f t="shared" si="7"/>
        <v>6400635.9783333335</v>
      </c>
      <c r="G27" t="str">
        <f t="shared" si="5"/>
        <v>Yes</v>
      </c>
    </row>
    <row r="28" spans="2:7">
      <c r="B28" s="30">
        <v>46235</v>
      </c>
      <c r="C28" s="34">
        <f t="shared" ref="C28:D28" si="13">D12</f>
        <v>20000</v>
      </c>
      <c r="D28" s="34">
        <f t="shared" si="13"/>
        <v>1296225.5816666668</v>
      </c>
      <c r="E28" s="34">
        <f t="shared" si="10"/>
        <v>340000</v>
      </c>
      <c r="F28" s="34">
        <f t="shared" si="7"/>
        <v>7696861.5600000005</v>
      </c>
      <c r="G28" t="str">
        <f t="shared" si="5"/>
        <v>Yes</v>
      </c>
    </row>
    <row r="29" spans="2:7">
      <c r="B29" s="30">
        <v>46266</v>
      </c>
      <c r="C29" s="34">
        <f t="shared" ref="C29:D29" si="14">D13</f>
        <v>20000</v>
      </c>
      <c r="D29" s="34">
        <f t="shared" si="14"/>
        <v>1321134.7816666665</v>
      </c>
      <c r="E29" s="34">
        <f t="shared" si="10"/>
        <v>360000</v>
      </c>
      <c r="F29" s="34">
        <f t="shared" si="7"/>
        <v>9017996.3416666668</v>
      </c>
      <c r="G29" t="str">
        <f t="shared" si="5"/>
        <v>Yes</v>
      </c>
    </row>
    <row r="30" spans="2:7">
      <c r="B30" s="30">
        <v>46296</v>
      </c>
      <c r="C30" s="34">
        <f t="shared" ref="C30:D30" si="15">D14</f>
        <v>20000</v>
      </c>
      <c r="D30" s="34">
        <f t="shared" si="15"/>
        <v>903861.98166666669</v>
      </c>
      <c r="E30" s="34">
        <f t="shared" si="10"/>
        <v>380000</v>
      </c>
      <c r="F30" s="34">
        <f t="shared" si="7"/>
        <v>9921858.3233333342</v>
      </c>
      <c r="G30" t="str">
        <f t="shared" si="5"/>
        <v>Yes</v>
      </c>
    </row>
    <row r="31" spans="2:7">
      <c r="B31" s="30">
        <v>46327</v>
      </c>
      <c r="C31" s="34">
        <f t="shared" ref="C31:D31" si="16">D15</f>
        <v>20000</v>
      </c>
      <c r="D31" s="34">
        <f t="shared" si="16"/>
        <v>1370952.9816666667</v>
      </c>
      <c r="E31" s="34">
        <f t="shared" si="10"/>
        <v>400000</v>
      </c>
      <c r="F31" s="34">
        <f t="shared" si="7"/>
        <v>11292811.305000002</v>
      </c>
      <c r="G31" t="str">
        <f t="shared" si="5"/>
        <v>Yes</v>
      </c>
    </row>
    <row r="32" spans="2:7">
      <c r="B32" s="30">
        <v>46357</v>
      </c>
      <c r="C32" s="34">
        <f t="shared" ref="C32:D32" si="17">D16</f>
        <v>20000</v>
      </c>
      <c r="D32" s="34">
        <f t="shared" si="17"/>
        <v>1395861.9816666667</v>
      </c>
      <c r="E32" s="34">
        <f t="shared" si="10"/>
        <v>420000</v>
      </c>
      <c r="F32" s="34">
        <f t="shared" si="7"/>
        <v>12688673.286666669</v>
      </c>
      <c r="G32" t="str">
        <f t="shared" si="5"/>
        <v>Yes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4670-B385-DB48-9C79-B1DED069C24F}">
  <dimension ref="A1:D5"/>
  <sheetViews>
    <sheetView workbookViewId="0">
      <selection activeCell="D9" sqref="D9"/>
    </sheetView>
  </sheetViews>
  <sheetFormatPr defaultColWidth="11.19921875" defaultRowHeight="15.6"/>
  <sheetData>
    <row r="1" spans="1:4">
      <c r="A1" s="1" t="s">
        <v>0</v>
      </c>
    </row>
    <row r="2" spans="1:4"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2">
        <v>0.2</v>
      </c>
      <c r="C3" s="2">
        <v>0</v>
      </c>
      <c r="D3" s="2">
        <v>0</v>
      </c>
    </row>
    <row r="4" spans="1:4">
      <c r="A4" s="1" t="s">
        <v>5</v>
      </c>
      <c r="B4" s="2">
        <v>0</v>
      </c>
      <c r="C4" s="2">
        <v>0</v>
      </c>
      <c r="D4" s="2">
        <v>0</v>
      </c>
    </row>
    <row r="5" spans="1:4">
      <c r="A5" s="1" t="s">
        <v>6</v>
      </c>
      <c r="B5" s="2">
        <v>-0.2</v>
      </c>
      <c r="C5" s="2">
        <v>0.1</v>
      </c>
      <c r="D5" s="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3 Statement Model</vt:lpstr>
      <vt:lpstr>Financing and Funding Analysis</vt:lpstr>
      <vt:lpstr>Financial Forecast</vt:lpstr>
      <vt:lpstr>HR Analyst Report</vt:lpstr>
      <vt:lpstr>Financing</vt:lpstr>
      <vt:lpstr>CAPEX</vt:lpstr>
      <vt:lpstr>OPEX Analysis</vt:lpstr>
      <vt:lpstr>Liquidity and Risk Analysis</vt:lpstr>
      <vt:lpstr>CAPEX Investment Analysis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Emmanuel Sekyere</cp:lastModifiedBy>
  <dcterms:created xsi:type="dcterms:W3CDTF">2026-02-01T22:33:53Z</dcterms:created>
  <dcterms:modified xsi:type="dcterms:W3CDTF">2026-06-22T16:33:54Z</dcterms:modified>
</cp:coreProperties>
</file>